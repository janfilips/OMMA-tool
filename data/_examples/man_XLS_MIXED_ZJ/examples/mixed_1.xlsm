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rotter\sound-solutions\VIE-PRO_LP_OMMA - General_Docs (1)\01_technical_specification\assets\data_sources_details\man_XLS_MIXED_ZJ\examples\"/>
    </mc:Choice>
  </mc:AlternateContent>
  <xr:revisionPtr revIDLastSave="0" documentId="13_ncr:1_{51DEDD3C-A6A5-4126-A23D-9CE3B35818D0}" xr6:coauthVersionLast="47" xr6:coauthVersionMax="47" xr10:uidLastSave="{00000000-0000-0000-0000-000000000000}"/>
  <bookViews>
    <workbookView xWindow="-120" yWindow="-120" windowWidth="29040" windowHeight="15840" tabRatio="586" xr2:uid="{00000000-000D-0000-FFFF-FFFF00000000}"/>
  </bookViews>
  <sheets>
    <sheet name="SS1-1" sheetId="1" r:id="rId1"/>
    <sheet name="SS1-2" sheetId="5" r:id="rId2"/>
    <sheet name="Setup" sheetId="3" state="hidden" r:id="rId3"/>
  </sheets>
  <functionGroups builtInGroupCount="19"/>
  <definedNames>
    <definedName name="CMMVersion" localSheetId="1">'SS1-2'!$R$6</definedName>
    <definedName name="CMMVersion">'SS1-1'!$R$6</definedName>
    <definedName name="dim_type">Setup!$J$2:$J$5</definedName>
    <definedName name="dim_types">Setup!$J$2:$J$5</definedName>
    <definedName name="gauging">Setup!$L$2:$L$3</definedName>
    <definedName name="insp_meth">Setup!$H$2:$H$14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8" i="5" l="1"/>
  <c r="S58" i="5" s="1"/>
  <c r="Q58" i="5"/>
  <c r="P58" i="5"/>
  <c r="O58" i="5"/>
  <c r="M58" i="5"/>
  <c r="L58" i="5"/>
  <c r="R57" i="5"/>
  <c r="S57" i="5" s="1"/>
  <c r="Q57" i="5"/>
  <c r="P57" i="5"/>
  <c r="O57" i="5"/>
  <c r="M57" i="5"/>
  <c r="L57" i="5"/>
  <c r="R56" i="5"/>
  <c r="S56" i="5" s="1"/>
  <c r="Q56" i="5"/>
  <c r="P56" i="5"/>
  <c r="O56" i="5"/>
  <c r="M56" i="5"/>
  <c r="L56" i="5"/>
  <c r="R55" i="5"/>
  <c r="S55" i="5" s="1"/>
  <c r="Q55" i="5"/>
  <c r="P55" i="5"/>
  <c r="O55" i="5"/>
  <c r="M55" i="5"/>
  <c r="L55" i="5"/>
  <c r="R54" i="5"/>
  <c r="S54" i="5" s="1"/>
  <c r="Q54" i="5"/>
  <c r="P54" i="5"/>
  <c r="O54" i="5"/>
  <c r="M54" i="5"/>
  <c r="L54" i="5"/>
  <c r="R53" i="5"/>
  <c r="Q53" i="5"/>
  <c r="P53" i="5"/>
  <c r="O53" i="5"/>
  <c r="M53" i="5"/>
  <c r="L53" i="5"/>
  <c r="R52" i="5"/>
  <c r="S52" i="5" s="1"/>
  <c r="Q52" i="5"/>
  <c r="P52" i="5"/>
  <c r="O52" i="5"/>
  <c r="M52" i="5"/>
  <c r="L52" i="5"/>
  <c r="R51" i="5"/>
  <c r="S51" i="5" s="1"/>
  <c r="AA51" i="5" s="1"/>
  <c r="Q51" i="5"/>
  <c r="P51" i="5"/>
  <c r="O51" i="5"/>
  <c r="M51" i="5"/>
  <c r="L51" i="5"/>
  <c r="R50" i="5"/>
  <c r="S50" i="5" s="1"/>
  <c r="AA50" i="5" s="1"/>
  <c r="Q50" i="5"/>
  <c r="P50" i="5"/>
  <c r="O50" i="5"/>
  <c r="M50" i="5"/>
  <c r="L50" i="5"/>
  <c r="R49" i="5"/>
  <c r="S49" i="5" s="1"/>
  <c r="Q49" i="5"/>
  <c r="P49" i="5"/>
  <c r="O49" i="5"/>
  <c r="M49" i="5"/>
  <c r="L49" i="5"/>
  <c r="U48" i="5"/>
  <c r="R48" i="5"/>
  <c r="Q48" i="5"/>
  <c r="Z48" i="5" s="1"/>
  <c r="P48" i="5"/>
  <c r="O48" i="5"/>
  <c r="M48" i="5"/>
  <c r="L48" i="5"/>
  <c r="R47" i="5"/>
  <c r="S47" i="5" s="1"/>
  <c r="Q47" i="5"/>
  <c r="P47" i="5"/>
  <c r="O47" i="5"/>
  <c r="M47" i="5"/>
  <c r="L47" i="5"/>
  <c r="R46" i="5"/>
  <c r="S46" i="5" s="1"/>
  <c r="Q46" i="5"/>
  <c r="P46" i="5"/>
  <c r="O46" i="5"/>
  <c r="M46" i="5"/>
  <c r="L46" i="5"/>
  <c r="R45" i="5"/>
  <c r="S45" i="5" s="1"/>
  <c r="Q45" i="5"/>
  <c r="P45" i="5"/>
  <c r="O45" i="5"/>
  <c r="M45" i="5"/>
  <c r="L45" i="5"/>
  <c r="R44" i="5"/>
  <c r="S44" i="5" s="1"/>
  <c r="Q44" i="5"/>
  <c r="P44" i="5"/>
  <c r="O44" i="5"/>
  <c r="M44" i="5"/>
  <c r="L44" i="5"/>
  <c r="R43" i="5"/>
  <c r="S43" i="5" s="1"/>
  <c r="Q43" i="5"/>
  <c r="P43" i="5"/>
  <c r="O43" i="5"/>
  <c r="M43" i="5"/>
  <c r="L43" i="5"/>
  <c r="R42" i="5"/>
  <c r="S42" i="5" s="1"/>
  <c r="Q42" i="5"/>
  <c r="P42" i="5"/>
  <c r="O42" i="5"/>
  <c r="M42" i="5"/>
  <c r="L42" i="5"/>
  <c r="R41" i="5"/>
  <c r="Q41" i="5"/>
  <c r="P41" i="5"/>
  <c r="O41" i="5"/>
  <c r="M41" i="5"/>
  <c r="L41" i="5"/>
  <c r="R40" i="5"/>
  <c r="S40" i="5" s="1"/>
  <c r="Q40" i="5"/>
  <c r="P40" i="5"/>
  <c r="O40" i="5"/>
  <c r="M40" i="5"/>
  <c r="L40" i="5"/>
  <c r="R39" i="5"/>
  <c r="S39" i="5" s="1"/>
  <c r="Q39" i="5"/>
  <c r="Y39" i="5" s="1"/>
  <c r="P39" i="5"/>
  <c r="O39" i="5"/>
  <c r="M39" i="5"/>
  <c r="L39" i="5"/>
  <c r="R38" i="5"/>
  <c r="S38" i="5" s="1"/>
  <c r="Q38" i="5"/>
  <c r="P38" i="5"/>
  <c r="O38" i="5"/>
  <c r="M38" i="5"/>
  <c r="L38" i="5"/>
  <c r="U37" i="5"/>
  <c r="R37" i="5"/>
  <c r="Q37" i="5"/>
  <c r="P37" i="5"/>
  <c r="O37" i="5"/>
  <c r="M37" i="5"/>
  <c r="L37" i="5"/>
  <c r="R36" i="5"/>
  <c r="S36" i="5" s="1"/>
  <c r="Q36" i="5"/>
  <c r="P36" i="5"/>
  <c r="O36" i="5"/>
  <c r="M36" i="5"/>
  <c r="L36" i="5"/>
  <c r="R35" i="5"/>
  <c r="S35" i="5" s="1"/>
  <c r="AA35" i="5" s="1"/>
  <c r="Q35" i="5"/>
  <c r="P35" i="5"/>
  <c r="O35" i="5"/>
  <c r="M35" i="5"/>
  <c r="L35" i="5"/>
  <c r="R34" i="5"/>
  <c r="S34" i="5" s="1"/>
  <c r="AA34" i="5" s="1"/>
  <c r="Q34" i="5"/>
  <c r="P34" i="5"/>
  <c r="O34" i="5"/>
  <c r="M34" i="5"/>
  <c r="L34" i="5"/>
  <c r="R33" i="5"/>
  <c r="S33" i="5" s="1"/>
  <c r="Q33" i="5"/>
  <c r="P33" i="5"/>
  <c r="O33" i="5"/>
  <c r="M33" i="5"/>
  <c r="L33" i="5"/>
  <c r="R32" i="5"/>
  <c r="Y32" i="5" s="1"/>
  <c r="Q32" i="5"/>
  <c r="P32" i="5"/>
  <c r="O32" i="5"/>
  <c r="M32" i="5"/>
  <c r="L32" i="5"/>
  <c r="R31" i="5"/>
  <c r="S31" i="5" s="1"/>
  <c r="AA31" i="5" s="1"/>
  <c r="Q31" i="5"/>
  <c r="P31" i="5"/>
  <c r="O31" i="5"/>
  <c r="M31" i="5"/>
  <c r="L31" i="5"/>
  <c r="R30" i="5"/>
  <c r="S30" i="5" s="1"/>
  <c r="Q30" i="5"/>
  <c r="P30" i="5"/>
  <c r="O30" i="5"/>
  <c r="M30" i="5"/>
  <c r="L30" i="5"/>
  <c r="R29" i="5"/>
  <c r="S29" i="5" s="1"/>
  <c r="AA29" i="5" s="1"/>
  <c r="Q29" i="5"/>
  <c r="P29" i="5"/>
  <c r="O29" i="5"/>
  <c r="M29" i="5"/>
  <c r="L29" i="5"/>
  <c r="R28" i="5"/>
  <c r="S28" i="5" s="1"/>
  <c r="AA28" i="5" s="1"/>
  <c r="Q28" i="5"/>
  <c r="P28" i="5"/>
  <c r="O28" i="5"/>
  <c r="M28" i="5"/>
  <c r="L28" i="5"/>
  <c r="S27" i="5"/>
  <c r="AA27" i="5" s="1"/>
  <c r="R27" i="5"/>
  <c r="Q27" i="5"/>
  <c r="Y27" i="5" s="1"/>
  <c r="P27" i="5"/>
  <c r="O27" i="5"/>
  <c r="M27" i="5"/>
  <c r="L27" i="5"/>
  <c r="R26" i="5"/>
  <c r="Q26" i="5"/>
  <c r="P26" i="5"/>
  <c r="O26" i="5"/>
  <c r="M26" i="5"/>
  <c r="L26" i="5"/>
  <c r="R25" i="5"/>
  <c r="S25" i="5" s="1"/>
  <c r="Q25" i="5"/>
  <c r="P25" i="5"/>
  <c r="O25" i="5"/>
  <c r="M25" i="5"/>
  <c r="L25" i="5"/>
  <c r="R24" i="5"/>
  <c r="S24" i="5" s="1"/>
  <c r="Q24" i="5"/>
  <c r="P24" i="5"/>
  <c r="O24" i="5"/>
  <c r="M24" i="5"/>
  <c r="L24" i="5"/>
  <c r="R23" i="5"/>
  <c r="S23" i="5" s="1"/>
  <c r="AA23" i="5" s="1"/>
  <c r="Q23" i="5"/>
  <c r="P23" i="5"/>
  <c r="O23" i="5"/>
  <c r="M23" i="5"/>
  <c r="L23" i="5"/>
  <c r="R22" i="5"/>
  <c r="S22" i="5" s="1"/>
  <c r="AA22" i="5" s="1"/>
  <c r="Q22" i="5"/>
  <c r="P22" i="5"/>
  <c r="O22" i="5"/>
  <c r="M22" i="5"/>
  <c r="L22" i="5"/>
  <c r="R21" i="5"/>
  <c r="Q21" i="5"/>
  <c r="P21" i="5"/>
  <c r="O21" i="5"/>
  <c r="M21" i="5"/>
  <c r="L21" i="5"/>
  <c r="R20" i="5"/>
  <c r="S20" i="5" s="1"/>
  <c r="Q20" i="5"/>
  <c r="P20" i="5"/>
  <c r="O20" i="5"/>
  <c r="M20" i="5"/>
  <c r="L20" i="5"/>
  <c r="R19" i="5"/>
  <c r="S19" i="5" s="1"/>
  <c r="AA19" i="5" s="1"/>
  <c r="Q19" i="5"/>
  <c r="P19" i="5"/>
  <c r="O19" i="5"/>
  <c r="M19" i="5"/>
  <c r="L19" i="5"/>
  <c r="R18" i="5"/>
  <c r="Q18" i="5"/>
  <c r="P18" i="5"/>
  <c r="O18" i="5"/>
  <c r="M18" i="5"/>
  <c r="L18" i="5"/>
  <c r="V17" i="5"/>
  <c r="W17" i="5" s="1"/>
  <c r="U17" i="5"/>
  <c r="R17" i="5"/>
  <c r="Q17" i="5"/>
  <c r="Z17" i="5" s="1"/>
  <c r="P17" i="5"/>
  <c r="O17" i="5"/>
  <c r="M17" i="5"/>
  <c r="L17" i="5"/>
  <c r="U16" i="5"/>
  <c r="R16" i="5"/>
  <c r="Q16" i="5"/>
  <c r="Z16" i="5" s="1"/>
  <c r="P16" i="5"/>
  <c r="O16" i="5"/>
  <c r="M16" i="5"/>
  <c r="L16" i="5"/>
  <c r="R15" i="5"/>
  <c r="S15" i="5" s="1"/>
  <c r="AA15" i="5" s="1"/>
  <c r="Q15" i="5"/>
  <c r="P15" i="5"/>
  <c r="O15" i="5"/>
  <c r="M15" i="5"/>
  <c r="L15" i="5"/>
  <c r="R14" i="5"/>
  <c r="Q14" i="5"/>
  <c r="P14" i="5"/>
  <c r="O14" i="5"/>
  <c r="M14" i="5"/>
  <c r="L14" i="5"/>
  <c r="R13" i="5"/>
  <c r="S13" i="5" s="1"/>
  <c r="AA13" i="5" s="1"/>
  <c r="Q13" i="5"/>
  <c r="P13" i="5"/>
  <c r="O13" i="5"/>
  <c r="M13" i="5"/>
  <c r="L13" i="5"/>
  <c r="R12" i="5"/>
  <c r="Q12" i="5"/>
  <c r="P12" i="5"/>
  <c r="O12" i="5"/>
  <c r="M12" i="5"/>
  <c r="L12" i="5"/>
  <c r="R11" i="5"/>
  <c r="S11" i="5" s="1"/>
  <c r="Q11" i="5"/>
  <c r="Y11" i="5" s="1"/>
  <c r="P11" i="5"/>
  <c r="O11" i="5"/>
  <c r="M11" i="5"/>
  <c r="L11" i="5"/>
  <c r="HI4" i="5"/>
  <c r="X49" i="5" l="1"/>
  <c r="T55" i="5"/>
  <c r="Y13" i="5"/>
  <c r="X51" i="5"/>
  <c r="T53" i="5"/>
  <c r="X55" i="5"/>
  <c r="T48" i="5"/>
  <c r="S48" i="5" s="1"/>
  <c r="T49" i="5"/>
  <c r="V48" i="5"/>
  <c r="W48" i="5" s="1"/>
  <c r="U50" i="5"/>
  <c r="T54" i="5"/>
  <c r="U55" i="5"/>
  <c r="U14" i="5"/>
  <c r="U28" i="5"/>
  <c r="U30" i="5"/>
  <c r="Z36" i="5"/>
  <c r="X57" i="5"/>
  <c r="U49" i="5"/>
  <c r="V49" i="5" s="1"/>
  <c r="W49" i="5" s="1"/>
  <c r="Z54" i="5"/>
  <c r="U54" i="5"/>
  <c r="V55" i="5"/>
  <c r="W55" i="5" s="1"/>
  <c r="Z50" i="5"/>
  <c r="U53" i="5"/>
  <c r="V53" i="5" s="1"/>
  <c r="Z56" i="5"/>
  <c r="Z58" i="5"/>
  <c r="Z52" i="5"/>
  <c r="S53" i="5"/>
  <c r="T36" i="5"/>
  <c r="U36" i="5"/>
  <c r="T51" i="5"/>
  <c r="U52" i="5"/>
  <c r="T57" i="5"/>
  <c r="U58" i="5"/>
  <c r="T50" i="5"/>
  <c r="V50" i="5" s="1"/>
  <c r="W50" i="5" s="1"/>
  <c r="U51" i="5"/>
  <c r="X53" i="5"/>
  <c r="T56" i="5"/>
  <c r="U57" i="5"/>
  <c r="U56" i="5"/>
  <c r="T52" i="5"/>
  <c r="T58" i="5"/>
  <c r="V58" i="5" s="1"/>
  <c r="W58" i="5" s="1"/>
  <c r="AA53" i="5"/>
  <c r="AA55" i="5"/>
  <c r="AA57" i="5"/>
  <c r="Z12" i="5"/>
  <c r="Z22" i="5"/>
  <c r="Y36" i="5"/>
  <c r="X47" i="5"/>
  <c r="AA48" i="5"/>
  <c r="Y53" i="5"/>
  <c r="Y55" i="5"/>
  <c r="Y57" i="5"/>
  <c r="U18" i="5"/>
  <c r="Z24" i="5"/>
  <c r="Y31" i="5"/>
  <c r="T42" i="5"/>
  <c r="Z53" i="5"/>
  <c r="Z55" i="5"/>
  <c r="U12" i="5"/>
  <c r="Z14" i="5"/>
  <c r="Y15" i="5"/>
  <c r="X21" i="5"/>
  <c r="X31" i="5"/>
  <c r="X33" i="5"/>
  <c r="AA49" i="5"/>
  <c r="T22" i="5"/>
  <c r="Y23" i="5"/>
  <c r="Y25" i="5"/>
  <c r="Z31" i="5"/>
  <c r="X37" i="5"/>
  <c r="T14" i="5"/>
  <c r="U31" i="5"/>
  <c r="U40" i="5"/>
  <c r="AA58" i="5"/>
  <c r="Z26" i="5"/>
  <c r="Y26" i="5"/>
  <c r="Z28" i="5"/>
  <c r="AA52" i="5"/>
  <c r="AA54" i="5"/>
  <c r="AA56" i="5"/>
  <c r="U22" i="5"/>
  <c r="Z18" i="5"/>
  <c r="Y19" i="5"/>
  <c r="Z20" i="5"/>
  <c r="U25" i="5"/>
  <c r="Y29" i="5"/>
  <c r="T40" i="5"/>
  <c r="V40" i="5" s="1"/>
  <c r="W40" i="5" s="1"/>
  <c r="X45" i="5"/>
  <c r="V37" i="5"/>
  <c r="W37" i="5" s="1"/>
  <c r="U38" i="5"/>
  <c r="Z45" i="5"/>
  <c r="Y45" i="5"/>
  <c r="Y37" i="5"/>
  <c r="Y42" i="5"/>
  <c r="X43" i="5"/>
  <c r="U44" i="5"/>
  <c r="T37" i="5"/>
  <c r="S37" i="5" s="1"/>
  <c r="AA37" i="5" s="1"/>
  <c r="T44" i="5"/>
  <c r="X35" i="5"/>
  <c r="U35" i="5"/>
  <c r="Y35" i="5"/>
  <c r="Y41" i="5"/>
  <c r="AA38" i="5"/>
  <c r="T46" i="5"/>
  <c r="Y38" i="5"/>
  <c r="U39" i="5"/>
  <c r="X41" i="5"/>
  <c r="Z43" i="5"/>
  <c r="S41" i="5"/>
  <c r="AA41" i="5" s="1"/>
  <c r="U42" i="5"/>
  <c r="Y44" i="5"/>
  <c r="T38" i="5"/>
  <c r="X39" i="5"/>
  <c r="U41" i="5"/>
  <c r="U46" i="5"/>
  <c r="T28" i="5"/>
  <c r="V28" i="5" s="1"/>
  <c r="W28" i="5" s="1"/>
  <c r="T32" i="5"/>
  <c r="S32" i="5"/>
  <c r="AA32" i="5" s="1"/>
  <c r="U34" i="5"/>
  <c r="U29" i="5"/>
  <c r="U33" i="5"/>
  <c r="T34" i="5"/>
  <c r="T30" i="5"/>
  <c r="U32" i="5"/>
  <c r="T18" i="5"/>
  <c r="V18" i="5" s="1"/>
  <c r="Z19" i="5"/>
  <c r="T17" i="5"/>
  <c r="S17" i="5" s="1"/>
  <c r="AA17" i="5" s="1"/>
  <c r="Z21" i="5"/>
  <c r="S21" i="5"/>
  <c r="AA21" i="5" s="1"/>
  <c r="Y24" i="5"/>
  <c r="X25" i="5"/>
  <c r="U27" i="5"/>
  <c r="S18" i="5"/>
  <c r="AA18" i="5" s="1"/>
  <c r="T26" i="5"/>
  <c r="S26" i="5"/>
  <c r="AA26" i="5" s="1"/>
  <c r="U26" i="5"/>
  <c r="U20" i="5"/>
  <c r="Y21" i="5"/>
  <c r="U23" i="5"/>
  <c r="T24" i="5"/>
  <c r="X27" i="5"/>
  <c r="T20" i="5"/>
  <c r="U24" i="5"/>
  <c r="Z27" i="5"/>
  <c r="T16" i="5"/>
  <c r="S16" i="5" s="1"/>
  <c r="AA16" i="5" s="1"/>
  <c r="V16" i="5"/>
  <c r="W16" i="5" s="1"/>
  <c r="X15" i="5"/>
  <c r="Z15" i="5"/>
  <c r="S14" i="5"/>
  <c r="AA14" i="5" s="1"/>
  <c r="Y14" i="5"/>
  <c r="S12" i="5"/>
  <c r="AA12" i="5" s="1"/>
  <c r="T12" i="5"/>
  <c r="Y12" i="5"/>
  <c r="X13" i="5"/>
  <c r="X16" i="5"/>
  <c r="Y17" i="5"/>
  <c r="AA20" i="5"/>
  <c r="Y22" i="5"/>
  <c r="X23" i="5"/>
  <c r="Z25" i="5"/>
  <c r="AA25" i="5"/>
  <c r="AA30" i="5"/>
  <c r="Z33" i="5"/>
  <c r="AA33" i="5"/>
  <c r="AA36" i="5"/>
  <c r="Z39" i="5"/>
  <c r="AA39" i="5"/>
  <c r="AA42" i="5"/>
  <c r="AA45" i="5"/>
  <c r="Z13" i="5"/>
  <c r="Y20" i="5"/>
  <c r="Z23" i="5"/>
  <c r="Y30" i="5"/>
  <c r="Y33" i="5"/>
  <c r="X11" i="5"/>
  <c r="AA40" i="5"/>
  <c r="AA43" i="5"/>
  <c r="AA46" i="5"/>
  <c r="Z11" i="5"/>
  <c r="AA11" i="5"/>
  <c r="Y16" i="5"/>
  <c r="X17" i="5"/>
  <c r="Y18" i="5"/>
  <c r="X19" i="5"/>
  <c r="AA24" i="5"/>
  <c r="Y28" i="5"/>
  <c r="X29" i="5"/>
  <c r="Y34" i="5"/>
  <c r="Z37" i="5"/>
  <c r="Y40" i="5"/>
  <c r="Y43" i="5"/>
  <c r="Z47" i="5"/>
  <c r="AA47" i="5"/>
  <c r="Y49" i="5"/>
  <c r="Y51" i="5"/>
  <c r="Z29" i="5"/>
  <c r="Z35" i="5"/>
  <c r="Z41" i="5"/>
  <c r="AA44" i="5"/>
  <c r="Y47" i="5"/>
  <c r="Z49" i="5"/>
  <c r="Z51" i="5"/>
  <c r="V12" i="5"/>
  <c r="V30" i="5"/>
  <c r="W30" i="5" s="1"/>
  <c r="V42" i="5"/>
  <c r="W42" i="5" s="1"/>
  <c r="V14" i="5"/>
  <c r="T11" i="5"/>
  <c r="T13" i="5"/>
  <c r="T15" i="5"/>
  <c r="T19" i="5"/>
  <c r="T21" i="5"/>
  <c r="T23" i="5"/>
  <c r="T25" i="5"/>
  <c r="V25" i="5" s="1"/>
  <c r="W25" i="5" s="1"/>
  <c r="T27" i="5"/>
  <c r="T29" i="5"/>
  <c r="T31" i="5"/>
  <c r="T33" i="5"/>
  <c r="T35" i="5"/>
  <c r="T39" i="5"/>
  <c r="T41" i="5"/>
  <c r="T43" i="5"/>
  <c r="T45" i="5"/>
  <c r="T47" i="5"/>
  <c r="Z57" i="5"/>
  <c r="U11" i="5"/>
  <c r="X12" i="5"/>
  <c r="U13" i="5"/>
  <c r="X14" i="5"/>
  <c r="U15" i="5"/>
  <c r="X18" i="5"/>
  <c r="U19" i="5"/>
  <c r="X20" i="5"/>
  <c r="U21" i="5"/>
  <c r="X22" i="5"/>
  <c r="X24" i="5"/>
  <c r="X26" i="5"/>
  <c r="X28" i="5"/>
  <c r="X30" i="5"/>
  <c r="X32" i="5"/>
  <c r="X34" i="5"/>
  <c r="X36" i="5"/>
  <c r="X38" i="5"/>
  <c r="X40" i="5"/>
  <c r="X42" i="5"/>
  <c r="U43" i="5"/>
  <c r="X44" i="5"/>
  <c r="U45" i="5"/>
  <c r="X46" i="5"/>
  <c r="U47" i="5"/>
  <c r="X48" i="5"/>
  <c r="X50" i="5"/>
  <c r="X52" i="5"/>
  <c r="X54" i="5"/>
  <c r="X56" i="5"/>
  <c r="X58" i="5"/>
  <c r="Y46" i="5"/>
  <c r="Y48" i="5"/>
  <c r="Y50" i="5"/>
  <c r="Y52" i="5"/>
  <c r="Y54" i="5"/>
  <c r="Y56" i="5"/>
  <c r="Y58" i="5"/>
  <c r="Z30" i="5"/>
  <c r="Z32" i="5"/>
  <c r="Z34" i="5"/>
  <c r="Z38" i="5"/>
  <c r="Z40" i="5"/>
  <c r="Z42" i="5"/>
  <c r="Z44" i="5"/>
  <c r="Z46" i="5"/>
  <c r="R58" i="1"/>
  <c r="S58" i="1" s="1"/>
  <c r="AA58" i="1" s="1"/>
  <c r="Q58" i="1"/>
  <c r="P58" i="1"/>
  <c r="O58" i="1"/>
  <c r="M58" i="1"/>
  <c r="L58" i="1"/>
  <c r="R57" i="1"/>
  <c r="S57" i="1" s="1"/>
  <c r="AA57" i="1" s="1"/>
  <c r="Q57" i="1"/>
  <c r="P57" i="1"/>
  <c r="O57" i="1"/>
  <c r="M57" i="1"/>
  <c r="L57" i="1"/>
  <c r="R56" i="1"/>
  <c r="S56" i="1" s="1"/>
  <c r="AA56" i="1" s="1"/>
  <c r="Q56" i="1"/>
  <c r="P56" i="1"/>
  <c r="O56" i="1"/>
  <c r="M56" i="1"/>
  <c r="L56" i="1"/>
  <c r="R55" i="1"/>
  <c r="S55" i="1" s="1"/>
  <c r="Q55" i="1"/>
  <c r="P55" i="1"/>
  <c r="O55" i="1"/>
  <c r="M55" i="1"/>
  <c r="L55" i="1"/>
  <c r="R54" i="1"/>
  <c r="S54" i="1" s="1"/>
  <c r="AA54" i="1" s="1"/>
  <c r="Q54" i="1"/>
  <c r="P54" i="1"/>
  <c r="O54" i="1"/>
  <c r="M54" i="1"/>
  <c r="L54" i="1"/>
  <c r="R53" i="1"/>
  <c r="S53" i="1" s="1"/>
  <c r="Q53" i="1"/>
  <c r="P53" i="1"/>
  <c r="O53" i="1"/>
  <c r="M53" i="1"/>
  <c r="L53" i="1"/>
  <c r="R52" i="1"/>
  <c r="S52" i="1" s="1"/>
  <c r="AA52" i="1" s="1"/>
  <c r="Q52" i="1"/>
  <c r="P52" i="1"/>
  <c r="O52" i="1"/>
  <c r="M52" i="1"/>
  <c r="L52" i="1"/>
  <c r="R51" i="1"/>
  <c r="S51" i="1" s="1"/>
  <c r="AA51" i="1" s="1"/>
  <c r="Q51" i="1"/>
  <c r="P51" i="1"/>
  <c r="O51" i="1"/>
  <c r="M51" i="1"/>
  <c r="L51" i="1"/>
  <c r="R50" i="1"/>
  <c r="S50" i="1" s="1"/>
  <c r="AA50" i="1" s="1"/>
  <c r="Q50" i="1"/>
  <c r="P50" i="1"/>
  <c r="O50" i="1"/>
  <c r="M50" i="1"/>
  <c r="L50" i="1"/>
  <c r="R49" i="1"/>
  <c r="S49" i="1" s="1"/>
  <c r="AA49" i="1" s="1"/>
  <c r="Q49" i="1"/>
  <c r="P49" i="1"/>
  <c r="O49" i="1"/>
  <c r="M49" i="1"/>
  <c r="L49" i="1"/>
  <c r="U48" i="1"/>
  <c r="R48" i="1"/>
  <c r="Q48" i="1"/>
  <c r="Z48" i="1" s="1"/>
  <c r="P48" i="1"/>
  <c r="O48" i="1"/>
  <c r="M48" i="1"/>
  <c r="L48" i="1"/>
  <c r="R47" i="1"/>
  <c r="Q47" i="1"/>
  <c r="P47" i="1"/>
  <c r="O47" i="1"/>
  <c r="M47" i="1"/>
  <c r="L47" i="1"/>
  <c r="R46" i="1"/>
  <c r="Q46" i="1"/>
  <c r="P46" i="1"/>
  <c r="O46" i="1"/>
  <c r="M46" i="1"/>
  <c r="L46" i="1"/>
  <c r="R45" i="1"/>
  <c r="Q45" i="1"/>
  <c r="P45" i="1"/>
  <c r="O45" i="1"/>
  <c r="M45" i="1"/>
  <c r="L45" i="1"/>
  <c r="R44" i="1"/>
  <c r="S44" i="1" s="1"/>
  <c r="Q44" i="1"/>
  <c r="P44" i="1"/>
  <c r="O44" i="1"/>
  <c r="M44" i="1"/>
  <c r="L44" i="1"/>
  <c r="R43" i="1"/>
  <c r="S43" i="1" s="1"/>
  <c r="AA43" i="1" s="1"/>
  <c r="Q43" i="1"/>
  <c r="P43" i="1"/>
  <c r="O43" i="1"/>
  <c r="M43" i="1"/>
  <c r="L43" i="1"/>
  <c r="R42" i="1"/>
  <c r="Q42" i="1"/>
  <c r="P42" i="1"/>
  <c r="O42" i="1"/>
  <c r="M42" i="1"/>
  <c r="L42" i="1"/>
  <c r="R41" i="1"/>
  <c r="S41" i="1" s="1"/>
  <c r="AA41" i="1" s="1"/>
  <c r="Q41" i="1"/>
  <c r="P41" i="1"/>
  <c r="O41" i="1"/>
  <c r="M41" i="1"/>
  <c r="L41" i="1"/>
  <c r="R40" i="1"/>
  <c r="S40" i="1" s="1"/>
  <c r="Q40" i="1"/>
  <c r="P40" i="1"/>
  <c r="O40" i="1"/>
  <c r="M40" i="1"/>
  <c r="L40" i="1"/>
  <c r="R39" i="1"/>
  <c r="S39" i="1" s="1"/>
  <c r="AA39" i="1" s="1"/>
  <c r="Q39" i="1"/>
  <c r="P39" i="1"/>
  <c r="O39" i="1"/>
  <c r="M39" i="1"/>
  <c r="L39" i="1"/>
  <c r="R38" i="1"/>
  <c r="Q38" i="1"/>
  <c r="P38" i="1"/>
  <c r="O38" i="1"/>
  <c r="M38" i="1"/>
  <c r="L38" i="1"/>
  <c r="U37" i="1"/>
  <c r="R37" i="1"/>
  <c r="Q37" i="1"/>
  <c r="Z37" i="1" s="1"/>
  <c r="P37" i="1"/>
  <c r="O37" i="1"/>
  <c r="M37" i="1"/>
  <c r="L37" i="1"/>
  <c r="R36" i="1"/>
  <c r="S36" i="1" s="1"/>
  <c r="Q36" i="1"/>
  <c r="P36" i="1"/>
  <c r="O36" i="1"/>
  <c r="M36" i="1"/>
  <c r="L36" i="1"/>
  <c r="R35" i="1"/>
  <c r="S35" i="1" s="1"/>
  <c r="Q35" i="1"/>
  <c r="P35" i="1"/>
  <c r="O35" i="1"/>
  <c r="M35" i="1"/>
  <c r="L35" i="1"/>
  <c r="R34" i="1"/>
  <c r="Q34" i="1"/>
  <c r="P34" i="1"/>
  <c r="O34" i="1"/>
  <c r="M34" i="1"/>
  <c r="L34" i="1"/>
  <c r="R33" i="1"/>
  <c r="S33" i="1" s="1"/>
  <c r="AA33" i="1" s="1"/>
  <c r="Q33" i="1"/>
  <c r="P33" i="1"/>
  <c r="O33" i="1"/>
  <c r="M33" i="1"/>
  <c r="L33" i="1"/>
  <c r="R32" i="1"/>
  <c r="S32" i="1" s="1"/>
  <c r="Q32" i="1"/>
  <c r="P32" i="1"/>
  <c r="O32" i="1"/>
  <c r="M32" i="1"/>
  <c r="L32" i="1"/>
  <c r="R31" i="1"/>
  <c r="S31" i="1" s="1"/>
  <c r="Q31" i="1"/>
  <c r="P31" i="1"/>
  <c r="O31" i="1"/>
  <c r="M31" i="1"/>
  <c r="L31" i="1"/>
  <c r="R30" i="1"/>
  <c r="Q30" i="1"/>
  <c r="P30" i="1"/>
  <c r="O30" i="1"/>
  <c r="M30" i="1"/>
  <c r="L30" i="1"/>
  <c r="R29" i="1"/>
  <c r="S29" i="1" s="1"/>
  <c r="AA29" i="1" s="1"/>
  <c r="Q29" i="1"/>
  <c r="P29" i="1"/>
  <c r="O29" i="1"/>
  <c r="M29" i="1"/>
  <c r="L29" i="1"/>
  <c r="R28" i="1"/>
  <c r="S28" i="1" s="1"/>
  <c r="Q28" i="1"/>
  <c r="P28" i="1"/>
  <c r="O28" i="1"/>
  <c r="M28" i="1"/>
  <c r="L28" i="1"/>
  <c r="R27" i="1"/>
  <c r="S27" i="1" s="1"/>
  <c r="AA27" i="1" s="1"/>
  <c r="Q27" i="1"/>
  <c r="P27" i="1"/>
  <c r="O27" i="1"/>
  <c r="M27" i="1"/>
  <c r="L27" i="1"/>
  <c r="T27" i="1" s="1"/>
  <c r="R26" i="1"/>
  <c r="Q26" i="1"/>
  <c r="P26" i="1"/>
  <c r="O26" i="1"/>
  <c r="M26" i="1"/>
  <c r="L26" i="1"/>
  <c r="R25" i="1"/>
  <c r="S25" i="1" s="1"/>
  <c r="AA25" i="1" s="1"/>
  <c r="Q25" i="1"/>
  <c r="P25" i="1"/>
  <c r="O25" i="1"/>
  <c r="M25" i="1"/>
  <c r="L25" i="1"/>
  <c r="R24" i="1"/>
  <c r="S24" i="1" s="1"/>
  <c r="AA24" i="1" s="1"/>
  <c r="Q24" i="1"/>
  <c r="P24" i="1"/>
  <c r="O24" i="1"/>
  <c r="M24" i="1"/>
  <c r="L24" i="1"/>
  <c r="R23" i="1"/>
  <c r="S23" i="1" s="1"/>
  <c r="AA23" i="1" s="1"/>
  <c r="Q23" i="1"/>
  <c r="P23" i="1"/>
  <c r="O23" i="1"/>
  <c r="M23" i="1"/>
  <c r="L23" i="1"/>
  <c r="R22" i="1"/>
  <c r="Q22" i="1"/>
  <c r="P22" i="1"/>
  <c r="O22" i="1"/>
  <c r="M22" i="1"/>
  <c r="L22" i="1"/>
  <c r="R21" i="1"/>
  <c r="Q21" i="1"/>
  <c r="P21" i="1"/>
  <c r="O21" i="1"/>
  <c r="M21" i="1"/>
  <c r="L21" i="1"/>
  <c r="R20" i="1"/>
  <c r="Q20" i="1"/>
  <c r="P20" i="1"/>
  <c r="O20" i="1"/>
  <c r="M20" i="1"/>
  <c r="L20" i="1"/>
  <c r="R19" i="1"/>
  <c r="S19" i="1" s="1"/>
  <c r="Q19" i="1"/>
  <c r="P19" i="1"/>
  <c r="O19" i="1"/>
  <c r="M19" i="1"/>
  <c r="L19" i="1"/>
  <c r="R18" i="1"/>
  <c r="S18" i="1" s="1"/>
  <c r="AA18" i="1" s="1"/>
  <c r="Q18" i="1"/>
  <c r="P18" i="1"/>
  <c r="O18" i="1"/>
  <c r="M18" i="1"/>
  <c r="L18" i="1"/>
  <c r="U17" i="1"/>
  <c r="R17" i="1"/>
  <c r="Q17" i="1"/>
  <c r="Z17" i="1" s="1"/>
  <c r="P17" i="1"/>
  <c r="O17" i="1"/>
  <c r="M17" i="1"/>
  <c r="L17" i="1"/>
  <c r="U16" i="1"/>
  <c r="R16" i="1"/>
  <c r="Q16" i="1"/>
  <c r="Y16" i="1" s="1"/>
  <c r="P16" i="1"/>
  <c r="O16" i="1"/>
  <c r="M16" i="1"/>
  <c r="L16" i="1"/>
  <c r="R15" i="1"/>
  <c r="S15" i="1" s="1"/>
  <c r="Q15" i="1"/>
  <c r="P15" i="1"/>
  <c r="O15" i="1"/>
  <c r="M15" i="1"/>
  <c r="L15" i="1"/>
  <c r="R14" i="1"/>
  <c r="S14" i="1" s="1"/>
  <c r="Q14" i="1"/>
  <c r="P14" i="1"/>
  <c r="O14" i="1"/>
  <c r="M14" i="1"/>
  <c r="L14" i="1"/>
  <c r="R13" i="1"/>
  <c r="S13" i="1" s="1"/>
  <c r="Q13" i="1"/>
  <c r="P13" i="1"/>
  <c r="O13" i="1"/>
  <c r="M13" i="1"/>
  <c r="L13" i="1"/>
  <c r="R12" i="1"/>
  <c r="S12" i="1" s="1"/>
  <c r="AA12" i="1" s="1"/>
  <c r="Q12" i="1"/>
  <c r="P12" i="1"/>
  <c r="O12" i="1"/>
  <c r="M12" i="1"/>
  <c r="L12" i="1"/>
  <c r="R11" i="1"/>
  <c r="S11" i="1" s="1"/>
  <c r="Q11" i="1"/>
  <c r="P11" i="1"/>
  <c r="O11" i="1"/>
  <c r="M11" i="1"/>
  <c r="L11" i="1"/>
  <c r="HI4" i="1"/>
  <c r="T13" i="1" l="1"/>
  <c r="Z18" i="1"/>
  <c r="V35" i="5"/>
  <c r="W35" i="5" s="1"/>
  <c r="Z21" i="1"/>
  <c r="Z57" i="1"/>
  <c r="V32" i="5"/>
  <c r="W32" i="5" s="1"/>
  <c r="V54" i="5"/>
  <c r="W54" i="5" s="1"/>
  <c r="W53" i="5"/>
  <c r="T48" i="1"/>
  <c r="S48" i="1" s="1"/>
  <c r="Z23" i="1"/>
  <c r="Z50" i="1"/>
  <c r="Z52" i="1"/>
  <c r="Z54" i="1"/>
  <c r="Z36" i="1"/>
  <c r="Z56" i="1"/>
  <c r="V56" i="5"/>
  <c r="W56" i="5" s="1"/>
  <c r="X55" i="1"/>
  <c r="Z58" i="1"/>
  <c r="V36" i="5"/>
  <c r="W36" i="5" s="1"/>
  <c r="U36" i="1"/>
  <c r="V52" i="5"/>
  <c r="W52" i="5" s="1"/>
  <c r="V57" i="5"/>
  <c r="W57" i="5" s="1"/>
  <c r="V51" i="5"/>
  <c r="W51" i="5" s="1"/>
  <c r="X57" i="1"/>
  <c r="X49" i="1"/>
  <c r="X51" i="1"/>
  <c r="X53" i="1"/>
  <c r="U13" i="1"/>
  <c r="Z25" i="1"/>
  <c r="Z30" i="1"/>
  <c r="Z32" i="1"/>
  <c r="Z34" i="1"/>
  <c r="Y36" i="1"/>
  <c r="Z38" i="1"/>
  <c r="Z40" i="1"/>
  <c r="Z42" i="1"/>
  <c r="Z44" i="1"/>
  <c r="Z46" i="1"/>
  <c r="Z20" i="1"/>
  <c r="X24" i="1"/>
  <c r="V31" i="5"/>
  <c r="W31" i="5" s="1"/>
  <c r="T16" i="1"/>
  <c r="S16" i="1" s="1"/>
  <c r="Z29" i="1"/>
  <c r="Z31" i="1"/>
  <c r="Z33" i="1"/>
  <c r="Z35" i="1"/>
  <c r="Z39" i="1"/>
  <c r="Z41" i="1"/>
  <c r="Z43" i="1"/>
  <c r="Z45" i="1"/>
  <c r="Z47" i="1"/>
  <c r="V21" i="5"/>
  <c r="W21" i="5" s="1"/>
  <c r="U28" i="1"/>
  <c r="X18" i="1"/>
  <c r="Y21" i="1"/>
  <c r="U22" i="1"/>
  <c r="U32" i="1"/>
  <c r="T20" i="1"/>
  <c r="Z26" i="1"/>
  <c r="Z27" i="1"/>
  <c r="Y32" i="1"/>
  <c r="Y48" i="1"/>
  <c r="Z11" i="1"/>
  <c r="U26" i="1"/>
  <c r="Y14" i="1"/>
  <c r="Z15" i="1"/>
  <c r="T18" i="1"/>
  <c r="Z19" i="1"/>
  <c r="Z28" i="1"/>
  <c r="V41" i="5"/>
  <c r="W41" i="5" s="1"/>
  <c r="V27" i="5"/>
  <c r="W27" i="5" s="1"/>
  <c r="W12" i="5"/>
  <c r="V20" i="5"/>
  <c r="W20" i="5" s="1"/>
  <c r="V38" i="5"/>
  <c r="W38" i="5" s="1"/>
  <c r="V22" i="5"/>
  <c r="W22" i="5" s="1"/>
  <c r="V29" i="5"/>
  <c r="W29" i="5" s="1"/>
  <c r="V23" i="5"/>
  <c r="W23" i="5" s="1"/>
  <c r="W14" i="5"/>
  <c r="V44" i="5"/>
  <c r="W44" i="5" s="1"/>
  <c r="V39" i="5"/>
  <c r="W39" i="5" s="1"/>
  <c r="V46" i="5"/>
  <c r="W46" i="5" s="1"/>
  <c r="V33" i="5"/>
  <c r="W33" i="5" s="1"/>
  <c r="V34" i="5"/>
  <c r="W34" i="5" s="1"/>
  <c r="V24" i="5"/>
  <c r="W24" i="5" s="1"/>
  <c r="V26" i="5"/>
  <c r="W26" i="5" s="1"/>
  <c r="W18" i="5"/>
  <c r="V47" i="5"/>
  <c r="W47" i="5" s="1"/>
  <c r="V45" i="5"/>
  <c r="W45" i="5" s="1"/>
  <c r="V19" i="5"/>
  <c r="W19" i="5" s="1"/>
  <c r="V43" i="5"/>
  <c r="W43" i="5" s="1"/>
  <c r="V15" i="5"/>
  <c r="W15" i="5" s="1"/>
  <c r="V13" i="5"/>
  <c r="W13" i="5" s="1"/>
  <c r="V11" i="5"/>
  <c r="W11" i="5" s="1"/>
  <c r="U40" i="1"/>
  <c r="U44" i="1"/>
  <c r="U45" i="1"/>
  <c r="T46" i="1"/>
  <c r="X47" i="1"/>
  <c r="AA53" i="1"/>
  <c r="AA55" i="1"/>
  <c r="T49" i="1"/>
  <c r="T51" i="1"/>
  <c r="T53" i="1"/>
  <c r="T57" i="1"/>
  <c r="Z49" i="1"/>
  <c r="Z53" i="1"/>
  <c r="V48" i="1"/>
  <c r="W48" i="1" s="1"/>
  <c r="U49" i="1"/>
  <c r="T50" i="1"/>
  <c r="U51" i="1"/>
  <c r="T52" i="1"/>
  <c r="U53" i="1"/>
  <c r="T54" i="1"/>
  <c r="U55" i="1"/>
  <c r="T56" i="1"/>
  <c r="U57" i="1"/>
  <c r="T58" i="1"/>
  <c r="X48" i="1"/>
  <c r="Z51" i="1"/>
  <c r="Z55" i="1"/>
  <c r="T55" i="1"/>
  <c r="U50" i="1"/>
  <c r="U52" i="1"/>
  <c r="U54" i="1"/>
  <c r="U56" i="1"/>
  <c r="U58" i="1"/>
  <c r="Y49" i="1"/>
  <c r="Y51" i="1"/>
  <c r="Y53" i="1"/>
  <c r="Y55" i="1"/>
  <c r="Y57" i="1"/>
  <c r="U42" i="1"/>
  <c r="S46" i="1"/>
  <c r="AA46" i="1" s="1"/>
  <c r="U38" i="1"/>
  <c r="S47" i="1"/>
  <c r="AA47" i="1" s="1"/>
  <c r="U46" i="1"/>
  <c r="T39" i="1"/>
  <c r="T43" i="1"/>
  <c r="U47" i="1"/>
  <c r="Y46" i="1"/>
  <c r="T47" i="1"/>
  <c r="X46" i="1"/>
  <c r="Y47" i="1"/>
  <c r="T35" i="1"/>
  <c r="U30" i="1"/>
  <c r="T31" i="1"/>
  <c r="Y33" i="1"/>
  <c r="U34" i="1"/>
  <c r="X21" i="1"/>
  <c r="T24" i="1"/>
  <c r="V17" i="1"/>
  <c r="W17" i="1" s="1"/>
  <c r="S21" i="1"/>
  <c r="AA21" i="1" s="1"/>
  <c r="Z24" i="1"/>
  <c r="U21" i="1"/>
  <c r="Y22" i="1"/>
  <c r="T22" i="1"/>
  <c r="V22" i="1" s="1"/>
  <c r="Y12" i="1"/>
  <c r="V16" i="1"/>
  <c r="W16" i="1" s="1"/>
  <c r="U11" i="1"/>
  <c r="T14" i="1"/>
  <c r="V13" i="1"/>
  <c r="W13" i="1" s="1"/>
  <c r="T12" i="1"/>
  <c r="U15" i="1"/>
  <c r="AA14" i="1"/>
  <c r="AA19" i="1"/>
  <c r="Y25" i="1"/>
  <c r="Y28" i="1"/>
  <c r="AA35" i="1"/>
  <c r="Y37" i="1"/>
  <c r="Y40" i="1"/>
  <c r="Y19" i="1"/>
  <c r="Z22" i="1"/>
  <c r="Y44" i="1"/>
  <c r="Y29" i="1"/>
  <c r="AA16" i="1"/>
  <c r="AA31" i="1"/>
  <c r="AA11" i="1"/>
  <c r="AA13" i="1"/>
  <c r="AA15" i="1"/>
  <c r="Y18" i="1"/>
  <c r="U20" i="1"/>
  <c r="V20" i="1" s="1"/>
  <c r="T23" i="1"/>
  <c r="Y24" i="1"/>
  <c r="Y27" i="1"/>
  <c r="AA28" i="1"/>
  <c r="X28" i="1"/>
  <c r="Y31" i="1"/>
  <c r="AA32" i="1"/>
  <c r="X32" i="1"/>
  <c r="Y35" i="1"/>
  <c r="AA36" i="1"/>
  <c r="X36" i="1"/>
  <c r="V37" i="1"/>
  <c r="W37" i="1" s="1"/>
  <c r="Y39" i="1"/>
  <c r="AA40" i="1"/>
  <c r="X40" i="1"/>
  <c r="Y43" i="1"/>
  <c r="AA44" i="1"/>
  <c r="X44" i="1"/>
  <c r="X45" i="1"/>
  <c r="X22" i="1"/>
  <c r="U23" i="1"/>
  <c r="T11" i="1"/>
  <c r="U12" i="1"/>
  <c r="U14" i="1"/>
  <c r="T15" i="1"/>
  <c r="T17" i="1"/>
  <c r="S17" i="1" s="1"/>
  <c r="AA17" i="1" s="1"/>
  <c r="U18" i="1"/>
  <c r="X19" i="1"/>
  <c r="T21" i="1"/>
  <c r="S22" i="1"/>
  <c r="AA22" i="1" s="1"/>
  <c r="U24" i="1"/>
  <c r="X25" i="1"/>
  <c r="U27" i="1"/>
  <c r="V27" i="1" s="1"/>
  <c r="W27" i="1" s="1"/>
  <c r="T28" i="1"/>
  <c r="V28" i="1" s="1"/>
  <c r="W28" i="1" s="1"/>
  <c r="X29" i="1"/>
  <c r="U31" i="1"/>
  <c r="V31" i="1" s="1"/>
  <c r="W31" i="1" s="1"/>
  <c r="T32" i="1"/>
  <c r="V32" i="1" s="1"/>
  <c r="W32" i="1" s="1"/>
  <c r="X33" i="1"/>
  <c r="U35" i="1"/>
  <c r="T36" i="1"/>
  <c r="X37" i="1"/>
  <c r="U39" i="1"/>
  <c r="T40" i="1"/>
  <c r="X41" i="1"/>
  <c r="U43" i="1"/>
  <c r="T44" i="1"/>
  <c r="S45" i="1"/>
  <c r="AA45" i="1" s="1"/>
  <c r="Y45" i="1"/>
  <c r="X34" i="1"/>
  <c r="X38" i="1"/>
  <c r="Y41" i="1"/>
  <c r="X42" i="1"/>
  <c r="T45" i="1"/>
  <c r="S20" i="1"/>
  <c r="AA20" i="1" s="1"/>
  <c r="Y20" i="1"/>
  <c r="T25" i="1"/>
  <c r="S26" i="1"/>
  <c r="AA26" i="1" s="1"/>
  <c r="T29" i="1"/>
  <c r="S30" i="1"/>
  <c r="AA30" i="1" s="1"/>
  <c r="Y30" i="1"/>
  <c r="T33" i="1"/>
  <c r="S34" i="1"/>
  <c r="AA34" i="1" s="1"/>
  <c r="Y34" i="1"/>
  <c r="T37" i="1"/>
  <c r="S37" i="1" s="1"/>
  <c r="AA37" i="1" s="1"/>
  <c r="S38" i="1"/>
  <c r="AA38" i="1" s="1"/>
  <c r="Y38" i="1"/>
  <c r="T41" i="1"/>
  <c r="S42" i="1"/>
  <c r="AA42" i="1" s="1"/>
  <c r="Y42" i="1"/>
  <c r="X20" i="1"/>
  <c r="X26" i="1"/>
  <c r="X30" i="1"/>
  <c r="T19" i="1"/>
  <c r="X23" i="1"/>
  <c r="Y26" i="1"/>
  <c r="Z12" i="1"/>
  <c r="X13" i="1"/>
  <c r="Z14" i="1"/>
  <c r="Z16" i="1"/>
  <c r="U19" i="1"/>
  <c r="Y23" i="1"/>
  <c r="U25" i="1"/>
  <c r="T26" i="1"/>
  <c r="V26" i="1" s="1"/>
  <c r="X27" i="1"/>
  <c r="U29" i="1"/>
  <c r="T30" i="1"/>
  <c r="X31" i="1"/>
  <c r="U33" i="1"/>
  <c r="T34" i="1"/>
  <c r="X35" i="1"/>
  <c r="T38" i="1"/>
  <c r="X39" i="1"/>
  <c r="U41" i="1"/>
  <c r="T42" i="1"/>
  <c r="X43" i="1"/>
  <c r="X15" i="1"/>
  <c r="X17" i="1"/>
  <c r="Y11" i="1"/>
  <c r="Y13" i="1"/>
  <c r="Y15" i="1"/>
  <c r="Y17" i="1"/>
  <c r="X50" i="1"/>
  <c r="X52" i="1"/>
  <c r="X54" i="1"/>
  <c r="X56" i="1"/>
  <c r="X58" i="1"/>
  <c r="Y50" i="1"/>
  <c r="Y52" i="1"/>
  <c r="Y54" i="1"/>
  <c r="Y56" i="1"/>
  <c r="Y58" i="1"/>
  <c r="X11" i="1"/>
  <c r="Z13" i="1"/>
  <c r="X12" i="1"/>
  <c r="X14" i="1"/>
  <c r="X16" i="1"/>
  <c r="AA48" i="1"/>
  <c r="V35" i="1" l="1"/>
  <c r="W35" i="1" s="1"/>
  <c r="V11" i="1"/>
  <c r="W11" i="1" s="1"/>
  <c r="V55" i="1"/>
  <c r="W55" i="1" s="1"/>
  <c r="V56" i="1"/>
  <c r="W56" i="1" s="1"/>
  <c r="V53" i="1"/>
  <c r="W53" i="1" s="1"/>
  <c r="V14" i="1"/>
  <c r="W14" i="1" s="1"/>
  <c r="V36" i="1"/>
  <c r="W36" i="1" s="1"/>
  <c r="V54" i="1"/>
  <c r="W54" i="1" s="1"/>
  <c r="V50" i="1"/>
  <c r="W50" i="1" s="1"/>
  <c r="V51" i="1"/>
  <c r="W51" i="1" s="1"/>
  <c r="V18" i="1"/>
  <c r="W18" i="1" s="1"/>
  <c r="V30" i="1"/>
  <c r="W30" i="1" s="1"/>
  <c r="V40" i="1"/>
  <c r="W40" i="1" s="1"/>
  <c r="V33" i="1"/>
  <c r="W33" i="1" s="1"/>
  <c r="V43" i="1"/>
  <c r="W43" i="1" s="1"/>
  <c r="V24" i="1"/>
  <c r="W24" i="1" s="1"/>
  <c r="W20" i="1"/>
  <c r="W26" i="1"/>
  <c r="V45" i="1"/>
  <c r="W45" i="1" s="1"/>
  <c r="V47" i="1"/>
  <c r="W47" i="1" s="1"/>
  <c r="V42" i="1"/>
  <c r="W42" i="1" s="1"/>
  <c r="V44" i="1"/>
  <c r="W44" i="1" s="1"/>
  <c r="V39" i="1"/>
  <c r="W39" i="1" s="1"/>
  <c r="V46" i="1"/>
  <c r="W46" i="1" s="1"/>
  <c r="V49" i="1"/>
  <c r="W49" i="1" s="1"/>
  <c r="V58" i="1"/>
  <c r="W58" i="1" s="1"/>
  <c r="V52" i="1"/>
  <c r="W52" i="1" s="1"/>
  <c r="V57" i="1"/>
  <c r="W57" i="1" s="1"/>
  <c r="V38" i="1"/>
  <c r="W38" i="1" s="1"/>
  <c r="V41" i="1"/>
  <c r="W41" i="1" s="1"/>
  <c r="V34" i="1"/>
  <c r="W34" i="1" s="1"/>
  <c r="V21" i="1"/>
  <c r="W21" i="1" s="1"/>
  <c r="V25" i="1"/>
  <c r="W25" i="1" s="1"/>
  <c r="V23" i="1"/>
  <c r="W23" i="1" s="1"/>
  <c r="V15" i="1"/>
  <c r="W15" i="1" s="1"/>
  <c r="V12" i="1"/>
  <c r="W12" i="1" s="1"/>
  <c r="V29" i="1"/>
  <c r="W29" i="1" s="1"/>
  <c r="V19" i="1"/>
  <c r="W19" i="1" s="1"/>
  <c r="W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T2" authorId="0" shapeId="0" xr:uid="{00000000-0006-0000-0000-000001000000}">
      <text>
        <r>
          <rPr>
            <sz val="9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J10" authorId="0" shapeId="0" xr:uid="{00000000-0006-0000-0000-000002000000}">
      <text>
        <r>
          <rPr>
            <b/>
            <sz val="9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T2" authorId="0" shapeId="0" xr:uid="{00000000-0006-0000-0100-000001000000}">
      <text>
        <r>
          <rPr>
            <sz val="9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J10" authorId="0" shapeId="0" xr:uid="{00000000-0006-0000-0100-000002000000}">
      <text>
        <r>
          <rPr>
            <b/>
            <sz val="9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</commentList>
</comments>
</file>

<file path=xl/sharedStrings.xml><?xml version="1.0" encoding="utf-8"?>
<sst xmlns="http://schemas.openxmlformats.org/spreadsheetml/2006/main" count="618" uniqueCount="131">
  <si>
    <t>Enhanced Cpk Data Sheet - Enclosures MD</t>
  </si>
  <si>
    <t>Rev 3.3</t>
  </si>
  <si>
    <t>Instructions</t>
  </si>
  <si>
    <t>Part Number :</t>
  </si>
  <si>
    <t>Supplier :</t>
  </si>
  <si>
    <t>SSI</t>
  </si>
  <si>
    <t>Tool # / Build / DOE Name :</t>
  </si>
  <si>
    <t>Part Description :</t>
  </si>
  <si>
    <t>Inspector :</t>
  </si>
  <si>
    <t>Notes/Comments :</t>
  </si>
  <si>
    <t>Revision :</t>
  </si>
  <si>
    <t>Date :</t>
  </si>
  <si>
    <t>CMM/OMM Program version :</t>
  </si>
  <si>
    <t>DRAWING SPECIFICATIONS</t>
  </si>
  <si>
    <t>CALCULATED RESULTS</t>
  </si>
  <si>
    <t>DO NOT DELETE COLUMNS</t>
  </si>
  <si>
    <t xml:space="preserve">     MEASURED DATA</t>
  </si>
  <si>
    <t>(USL for one sided spec)</t>
  </si>
  <si>
    <t>(LSL for one sided spec)</t>
  </si>
  <si>
    <t>Tolerance needed to hit target Cpk</t>
  </si>
  <si>
    <t>Cp* =</t>
  </si>
  <si>
    <t>SPC</t>
  </si>
  <si>
    <t>FAI#</t>
  </si>
  <si>
    <t>Description</t>
  </si>
  <si>
    <t>Target Cpk</t>
  </si>
  <si>
    <t>Dimension Type</t>
  </si>
  <si>
    <t>Nominal</t>
  </si>
  <si>
    <t>TOL+</t>
  </si>
  <si>
    <t>TOL-</t>
  </si>
  <si>
    <t>Inspection Method</t>
  </si>
  <si>
    <t>100% Gauged</t>
  </si>
  <si>
    <t>USL</t>
  </si>
  <si>
    <t>LSL</t>
  </si>
  <si>
    <t>Maximum</t>
  </si>
  <si>
    <t>Minimum</t>
  </si>
  <si>
    <t>Mean</t>
  </si>
  <si>
    <t>Std Dev</t>
  </si>
  <si>
    <t>Cp</t>
  </si>
  <si>
    <t>UCPK</t>
  </si>
  <si>
    <t>LCPK</t>
  </si>
  <si>
    <t>Cpk</t>
  </si>
  <si>
    <t>Yield</t>
  </si>
  <si>
    <t>+Tol =&gt; Cpk*</t>
  </si>
  <si>
    <t>-Tol =&gt; Cpk*</t>
  </si>
  <si>
    <t>Mean Shift</t>
  </si>
  <si>
    <t>Tol Range
=&gt; Cp*</t>
  </si>
  <si>
    <t>Normality Test</t>
  </si>
  <si>
    <t>Normality Result</t>
  </si>
  <si>
    <t>Notes</t>
  </si>
  <si>
    <t>M</t>
  </si>
  <si>
    <t>Tolerance</t>
  </si>
  <si>
    <t>OMM</t>
  </si>
  <si>
    <t>No</t>
  </si>
  <si>
    <t>GD&amp;T</t>
  </si>
  <si>
    <t>Ref</t>
  </si>
  <si>
    <t>record of positions of data blocks</t>
  </si>
  <si>
    <t>list of inspection methods</t>
  </si>
  <si>
    <t>list of dimension types</t>
  </si>
  <si>
    <t>list for 100% gauging</t>
  </si>
  <si>
    <t>left</t>
  </si>
  <si>
    <t>top</t>
  </si>
  <si>
    <t>HG</t>
  </si>
  <si>
    <t>Yes</t>
  </si>
  <si>
    <t>MIC</t>
  </si>
  <si>
    <t>CMM</t>
  </si>
  <si>
    <t>MIN</t>
  </si>
  <si>
    <t>MAX</t>
  </si>
  <si>
    <t>TG</t>
  </si>
  <si>
    <t>HT</t>
  </si>
  <si>
    <t>PG</t>
  </si>
  <si>
    <t>FT</t>
  </si>
  <si>
    <t>DC</t>
  </si>
  <si>
    <t>P</t>
  </si>
  <si>
    <t>OC</t>
  </si>
  <si>
    <t>Other</t>
  </si>
  <si>
    <t>MyRevision</t>
  </si>
  <si>
    <t>MyDrawingNumber</t>
  </si>
  <si>
    <t>MyComponent</t>
  </si>
  <si>
    <t>MyOperator</t>
  </si>
  <si>
    <t>YYYY-MM-DD</t>
  </si>
  <si>
    <t>MyCavity / MyTrialRunNumber / n.a.</t>
  </si>
  <si>
    <t>MyComment</t>
  </si>
  <si>
    <t>MyProgramRevision</t>
  </si>
  <si>
    <t>01</t>
  </si>
  <si>
    <t>04</t>
  </si>
  <si>
    <t>08-1</t>
  </si>
  <si>
    <t>08-2</t>
  </si>
  <si>
    <t>10</t>
  </si>
  <si>
    <t>15</t>
  </si>
  <si>
    <t>18</t>
  </si>
  <si>
    <t>18-1</t>
  </si>
  <si>
    <t>18-2</t>
  </si>
  <si>
    <t>18-3</t>
  </si>
  <si>
    <t>18-4</t>
  </si>
  <si>
    <t>18-5</t>
  </si>
  <si>
    <t>18-6</t>
  </si>
  <si>
    <t>18-7</t>
  </si>
  <si>
    <t>18-8</t>
  </si>
  <si>
    <t>18-9</t>
  </si>
  <si>
    <t>18-10</t>
  </si>
  <si>
    <t>22</t>
  </si>
  <si>
    <t>22-1</t>
  </si>
  <si>
    <t>22-2</t>
  </si>
  <si>
    <t>22-3</t>
  </si>
  <si>
    <t>22-4</t>
  </si>
  <si>
    <t>22-5</t>
  </si>
  <si>
    <t>22-6</t>
  </si>
  <si>
    <t>23</t>
  </si>
  <si>
    <t>25</t>
  </si>
  <si>
    <t>26</t>
  </si>
  <si>
    <t>26-1</t>
  </si>
  <si>
    <t>26-2</t>
  </si>
  <si>
    <t>26-3</t>
  </si>
  <si>
    <t>26-4</t>
  </si>
  <si>
    <t>26-5</t>
  </si>
  <si>
    <t>26-6</t>
  </si>
  <si>
    <t>26-7</t>
  </si>
  <si>
    <t>26-8</t>
  </si>
  <si>
    <t>26-9</t>
  </si>
  <si>
    <t>26-10</t>
  </si>
  <si>
    <t>27</t>
  </si>
  <si>
    <t>27-1</t>
  </si>
  <si>
    <t>27-2</t>
  </si>
  <si>
    <t>27-3</t>
  </si>
  <si>
    <t>27-4</t>
  </si>
  <si>
    <t>27-5</t>
  </si>
  <si>
    <t>27-6</t>
  </si>
  <si>
    <t>27-7</t>
  </si>
  <si>
    <t>27-8</t>
  </si>
  <si>
    <t>27-9</t>
  </si>
  <si>
    <t>27-10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</si>
</sst>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#,##0.0000"/>
    <numFmt numFmtId="166" formatCode="m/d"/>
    <numFmt numFmtId="167" formatCode="0.000"/>
    <numFmt numFmtId="168" formatCode="0.000_ "/>
  </numFmts>
  <fonts count="30">
    <font>
      <sz val="12"/>
      <color theme="1"/>
      <name val="Calibri"/>
      <charset val="134"/>
      <scheme val="minor"/>
    </font>
    <font>
      <b/>
      <sz val="12"/>
      <color theme="1"/>
      <name val="Calibri"/>
      <family val="3"/>
      <charset val="134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16"/>
      <name val="Arial"/>
      <family val="2"/>
    </font>
    <font>
      <sz val="10"/>
      <color theme="4"/>
      <name val="Arial"/>
      <family val="2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b/>
      <sz val="9"/>
      <color theme="1"/>
      <name val="Calibri"/>
      <family val="3"/>
      <charset val="134"/>
      <scheme val="minor"/>
    </font>
    <font>
      <sz val="9"/>
      <color theme="1"/>
      <name val="Calibri"/>
      <family val="3"/>
      <charset val="134"/>
      <scheme val="minor"/>
    </font>
    <font>
      <sz val="10"/>
      <color theme="1"/>
      <name val="Calibri"/>
      <family val="3"/>
      <charset val="134"/>
      <scheme val="minor"/>
    </font>
    <font>
      <sz val="10"/>
      <name val="宋体"/>
      <family val="3"/>
      <charset val="134"/>
    </font>
    <font>
      <sz val="9"/>
      <color rgb="FFFF0000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sz val="12"/>
      <name val="____"/>
      <family val="1"/>
    </font>
    <font>
      <b/>
      <sz val="12"/>
      <name val="Arial"/>
      <family val="2"/>
    </font>
    <font>
      <sz val="12"/>
      <name val="Times New Roman"/>
      <family val="1"/>
    </font>
    <font>
      <sz val="12"/>
      <name val="宋体"/>
      <family val="3"/>
      <charset val="134"/>
    </font>
    <font>
      <sz val="10"/>
      <color indexed="8"/>
      <name val="Arial"/>
      <family val="2"/>
    </font>
    <font>
      <sz val="9"/>
      <name val="Calibri"/>
      <family val="2"/>
    </font>
    <font>
      <b/>
      <sz val="9"/>
      <name val="Calibri"/>
      <family val="2"/>
    </font>
    <font>
      <sz val="12"/>
      <color theme="1"/>
      <name val="Calibri"/>
      <family val="3"/>
      <charset val="134"/>
      <scheme val="minor"/>
    </font>
    <font>
      <sz val="12"/>
      <color rgb="FF000000"/>
      <name val="Lucida Grande"/>
    </font>
    <font>
      <sz val="9"/>
      <name val="Calibri"/>
      <family val="3"/>
      <charset val="134"/>
      <scheme val="minor"/>
    </font>
    <font>
      <sz val="9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2065187536243"/>
        <bgColor rgb="FF000000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165" fontId="2" fillId="0" borderId="0" applyFill="0" applyBorder="0" applyAlignment="0"/>
    <xf numFmtId="9" fontId="26" fillId="0" borderId="0" applyFont="0" applyFill="0" applyBorder="0" applyAlignment="0" applyProtection="0"/>
    <xf numFmtId="164" fontId="2" fillId="0" borderId="0" applyFill="0" applyBorder="0" applyAlignment="0"/>
    <xf numFmtId="0" fontId="18" fillId="0" borderId="0"/>
    <xf numFmtId="165" fontId="2" fillId="0" borderId="0" applyFill="0" applyBorder="0" applyAlignment="0"/>
    <xf numFmtId="0" fontId="18" fillId="0" borderId="0"/>
    <xf numFmtId="165" fontId="2" fillId="0" borderId="0" applyFill="0" applyBorder="0" applyAlignment="0"/>
    <xf numFmtId="0" fontId="19" fillId="0" borderId="0"/>
    <xf numFmtId="0" fontId="18" fillId="0" borderId="0"/>
    <xf numFmtId="165" fontId="2" fillId="0" borderId="0" applyFill="0" applyBorder="0" applyAlignment="0"/>
    <xf numFmtId="0" fontId="20" fillId="0" borderId="17" applyNumberFormat="0" applyAlignment="0" applyProtection="0">
      <alignment horizontal="left" vertical="center"/>
    </xf>
    <xf numFmtId="0" fontId="20" fillId="0" borderId="6">
      <alignment horizontal="left" vertical="center"/>
    </xf>
    <xf numFmtId="0" fontId="21" fillId="0" borderId="0"/>
    <xf numFmtId="9" fontId="22" fillId="0" borderId="0" applyFont="0" applyFill="0" applyBorder="0" applyAlignment="0" applyProtection="0"/>
    <xf numFmtId="49" fontId="23" fillId="0" borderId="0" applyFill="0" applyBorder="0" applyAlignment="0"/>
    <xf numFmtId="0" fontId="26" fillId="0" borderId="0"/>
  </cellStyleXfs>
  <cellXfs count="1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0" fillId="2" borderId="0" xfId="0" applyFill="1"/>
    <xf numFmtId="0" fontId="2" fillId="3" borderId="0" xfId="0" applyFont="1" applyFill="1" applyProtection="1"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3" fillId="0" borderId="0" xfId="0" applyFont="1"/>
    <xf numFmtId="0" fontId="4" fillId="3" borderId="0" xfId="0" applyFont="1" applyFill="1" applyAlignment="1">
      <alignment horizontal="center"/>
    </xf>
    <xf numFmtId="0" fontId="5" fillId="3" borderId="0" xfId="0" applyFont="1" applyFill="1"/>
    <xf numFmtId="0" fontId="2" fillId="3" borderId="0" xfId="0" applyFont="1" applyFill="1"/>
    <xf numFmtId="14" fontId="6" fillId="4" borderId="1" xfId="0" applyNumberFormat="1" applyFont="1" applyFill="1" applyBorder="1" applyProtection="1">
      <protection locked="0"/>
    </xf>
    <xf numFmtId="14" fontId="6" fillId="2" borderId="4" xfId="0" applyNumberFormat="1" applyFont="1" applyFill="1" applyBorder="1" applyProtection="1">
      <protection locked="0"/>
    </xf>
    <xf numFmtId="49" fontId="6" fillId="4" borderId="1" xfId="0" applyNumberFormat="1" applyFont="1" applyFill="1" applyBorder="1" applyAlignment="1" applyProtection="1">
      <alignment horizontal="left"/>
      <protection locked="0"/>
    </xf>
    <xf numFmtId="0" fontId="2" fillId="3" borderId="0" xfId="0" applyFont="1" applyFill="1" applyAlignment="1">
      <alignment horizontal="center"/>
    </xf>
    <xf numFmtId="0" fontId="8" fillId="5" borderId="5" xfId="0" applyFont="1" applyFill="1" applyBorder="1"/>
    <xf numFmtId="0" fontId="8" fillId="5" borderId="4" xfId="0" applyFont="1" applyFill="1" applyBorder="1"/>
    <xf numFmtId="166" fontId="9" fillId="2" borderId="5" xfId="6" applyNumberFormat="1" applyFont="1" applyFill="1" applyBorder="1" applyAlignment="1" applyProtection="1">
      <alignment wrapText="1"/>
      <protection locked="0"/>
    </xf>
    <xf numFmtId="2" fontId="9" fillId="2" borderId="5" xfId="6" applyNumberFormat="1" applyFont="1" applyFill="1" applyBorder="1" applyAlignment="1" applyProtection="1">
      <alignment wrapText="1"/>
      <protection locked="0"/>
    </xf>
    <xf numFmtId="0" fontId="11" fillId="6" borderId="4" xfId="0" applyFont="1" applyFill="1" applyBorder="1"/>
    <xf numFmtId="166" fontId="9" fillId="2" borderId="7" xfId="6" applyNumberFormat="1" applyFont="1" applyFill="1" applyBorder="1" applyAlignment="1" applyProtection="1">
      <alignment horizontal="center" vertical="center" wrapText="1"/>
      <protection locked="0"/>
    </xf>
    <xf numFmtId="2" fontId="9" fillId="2" borderId="7" xfId="6" applyNumberFormat="1" applyFont="1" applyFill="1" applyBorder="1" applyAlignment="1" applyProtection="1">
      <alignment horizontal="center" vertical="center" wrapText="1"/>
      <protection locked="0"/>
    </xf>
    <xf numFmtId="0" fontId="1" fillId="6" borderId="0" xfId="0" applyFont="1" applyFill="1"/>
    <xf numFmtId="0" fontId="2" fillId="7" borderId="1" xfId="0" applyFont="1" applyFill="1" applyBorder="1" applyAlignment="1" applyProtection="1">
      <alignment horizontal="center" wrapText="1"/>
      <protection locked="0"/>
    </xf>
    <xf numFmtId="49" fontId="2" fillId="7" borderId="1" xfId="0" applyNumberFormat="1" applyFont="1" applyFill="1" applyBorder="1" applyAlignment="1" applyProtection="1">
      <alignment horizontal="center" wrapText="1"/>
      <protection locked="0"/>
    </xf>
    <xf numFmtId="49" fontId="2" fillId="4" borderId="1" xfId="6" applyNumberFormat="1" applyFont="1" applyFill="1" applyBorder="1" applyAlignment="1" applyProtection="1">
      <alignment horizontal="center" wrapText="1"/>
      <protection locked="0"/>
    </xf>
    <xf numFmtId="167" fontId="6" fillId="4" borderId="1" xfId="0" applyNumberFormat="1" applyFont="1" applyFill="1" applyBorder="1" applyAlignment="1" applyProtection="1">
      <alignment horizontal="center"/>
      <protection locked="0"/>
    </xf>
    <xf numFmtId="167" fontId="2" fillId="4" borderId="1" xfId="13" applyNumberFormat="1" applyFont="1" applyFill="1" applyBorder="1" applyAlignment="1" applyProtection="1">
      <alignment horizontal="center" wrapText="1"/>
      <protection locked="0"/>
    </xf>
    <xf numFmtId="0" fontId="0" fillId="6" borderId="0" xfId="0" applyFill="1"/>
    <xf numFmtId="0" fontId="2" fillId="7" borderId="7" xfId="0" applyFont="1" applyFill="1" applyBorder="1" applyAlignment="1" applyProtection="1">
      <alignment horizontal="center" wrapText="1"/>
      <protection locked="0"/>
    </xf>
    <xf numFmtId="49" fontId="2" fillId="7" borderId="8" xfId="0" applyNumberFormat="1" applyFont="1" applyFill="1" applyBorder="1" applyAlignment="1" applyProtection="1">
      <alignment horizontal="center" wrapText="1"/>
      <protection locked="0"/>
    </xf>
    <xf numFmtId="0" fontId="2" fillId="7" borderId="8" xfId="0" applyFont="1" applyFill="1" applyBorder="1" applyAlignment="1" applyProtection="1">
      <alignment horizontal="center" wrapText="1"/>
      <protection locked="0"/>
    </xf>
    <xf numFmtId="0" fontId="2" fillId="3" borderId="9" xfId="0" applyFont="1" applyFill="1" applyBorder="1" applyProtection="1">
      <protection locked="0"/>
    </xf>
    <xf numFmtId="0" fontId="9" fillId="2" borderId="5" xfId="0" applyFont="1" applyFill="1" applyBorder="1" applyAlignment="1">
      <alignment wrapText="1"/>
    </xf>
    <xf numFmtId="0" fontId="9" fillId="3" borderId="5" xfId="6" applyFont="1" applyFill="1" applyBorder="1" applyAlignment="1">
      <alignment wrapText="1"/>
    </xf>
    <xf numFmtId="0" fontId="9" fillId="3" borderId="5" xfId="6" applyFont="1" applyFill="1" applyBorder="1"/>
    <xf numFmtId="0" fontId="9" fillId="2" borderId="7" xfId="0" applyFont="1" applyFill="1" applyBorder="1" applyAlignment="1">
      <alignment horizontal="center" vertical="center" wrapText="1"/>
    </xf>
    <xf numFmtId="0" fontId="9" fillId="3" borderId="7" xfId="6" applyFont="1" applyFill="1" applyBorder="1" applyAlignment="1">
      <alignment horizontal="center" wrapText="1"/>
    </xf>
    <xf numFmtId="0" fontId="9" fillId="3" borderId="7" xfId="6" applyFont="1" applyFill="1" applyBorder="1" applyAlignment="1">
      <alignment horizontal="center" vertical="center"/>
    </xf>
    <xf numFmtId="49" fontId="2" fillId="4" borderId="1" xfId="13" applyNumberFormat="1" applyFont="1" applyFill="1" applyBorder="1" applyAlignment="1" applyProtection="1">
      <alignment horizontal="center" vertical="center" wrapText="1"/>
      <protection locked="0"/>
    </xf>
    <xf numFmtId="49" fontId="2" fillId="4" borderId="10" xfId="13" applyNumberFormat="1" applyFont="1" applyFill="1" applyBorder="1" applyAlignment="1" applyProtection="1">
      <alignment horizontal="center" vertical="center" wrapText="1"/>
      <protection locked="0"/>
    </xf>
    <xf numFmtId="167" fontId="2" fillId="2" borderId="10" xfId="0" applyNumberFormat="1" applyFont="1" applyFill="1" applyBorder="1" applyAlignment="1" applyProtection="1">
      <alignment horizontal="center"/>
      <protection locked="0"/>
    </xf>
    <xf numFmtId="167" fontId="2" fillId="2" borderId="2" xfId="0" applyNumberFormat="1" applyFont="1" applyFill="1" applyBorder="1" applyAlignment="1" applyProtection="1">
      <alignment horizontal="center"/>
      <protection locked="0"/>
    </xf>
    <xf numFmtId="0" fontId="12" fillId="6" borderId="4" xfId="0" applyFont="1" applyFill="1" applyBorder="1"/>
    <xf numFmtId="168" fontId="2" fillId="3" borderId="1" xfId="13" applyNumberFormat="1" applyFont="1" applyFill="1" applyBorder="1" applyAlignment="1">
      <alignment horizontal="center"/>
    </xf>
    <xf numFmtId="0" fontId="13" fillId="6" borderId="4" xfId="0" applyFont="1" applyFill="1" applyBorder="1"/>
    <xf numFmtId="0" fontId="14" fillId="6" borderId="4" xfId="0" applyFont="1" applyFill="1" applyBorder="1"/>
    <xf numFmtId="2" fontId="9" fillId="3" borderId="5" xfId="6" applyNumberFormat="1" applyFont="1" applyFill="1" applyBorder="1"/>
    <xf numFmtId="167" fontId="9" fillId="3" borderId="5" xfId="6" applyNumberFormat="1" applyFont="1" applyFill="1" applyBorder="1"/>
    <xf numFmtId="0" fontId="9" fillId="2" borderId="2" xfId="0" applyFont="1" applyFill="1" applyBorder="1" applyAlignment="1">
      <alignment horizontal="center" vertical="center" wrapText="1"/>
    </xf>
    <xf numFmtId="2" fontId="9" fillId="3" borderId="7" xfId="6" applyNumberFormat="1" applyFont="1" applyFill="1" applyBorder="1" applyAlignment="1">
      <alignment horizontal="center" vertical="center"/>
    </xf>
    <xf numFmtId="167" fontId="9" fillId="3" borderId="7" xfId="6" applyNumberFormat="1" applyFont="1" applyFill="1" applyBorder="1" applyAlignment="1">
      <alignment horizontal="center" vertical="center"/>
    </xf>
    <xf numFmtId="168" fontId="2" fillId="3" borderId="1" xfId="6" applyNumberFormat="1" applyFont="1" applyFill="1" applyBorder="1" applyAlignment="1">
      <alignment horizontal="center"/>
    </xf>
    <xf numFmtId="167" fontId="2" fillId="3" borderId="1" xfId="6" applyNumberFormat="1" applyFont="1" applyFill="1" applyBorder="1" applyAlignment="1">
      <alignment horizontal="center"/>
    </xf>
    <xf numFmtId="164" fontId="2" fillId="3" borderId="2" xfId="2" applyNumberFormat="1" applyFont="1" applyFill="1" applyBorder="1" applyAlignment="1" applyProtection="1">
      <alignment horizontal="center"/>
    </xf>
    <xf numFmtId="167" fontId="2" fillId="3" borderId="2" xfId="2" applyNumberFormat="1" applyFont="1" applyFill="1" applyBorder="1" applyAlignment="1" applyProtection="1">
      <alignment horizontal="center"/>
    </xf>
    <xf numFmtId="2" fontId="2" fillId="4" borderId="3" xfId="0" applyNumberFormat="1" applyFont="1" applyFill="1" applyBorder="1" applyAlignment="1">
      <alignment horizontal="center" vertical="center" wrapText="1"/>
    </xf>
    <xf numFmtId="0" fontId="16" fillId="0" borderId="5" xfId="6" applyFont="1" applyBorder="1" applyAlignment="1" applyProtection="1">
      <alignment wrapText="1"/>
      <protection locked="0"/>
    </xf>
    <xf numFmtId="0" fontId="8" fillId="2" borderId="5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9" fillId="3" borderId="7" xfId="6" applyFont="1" applyFill="1" applyBorder="1" applyAlignment="1" applyProtection="1">
      <alignment horizontal="center" wrapText="1"/>
      <protection locked="0"/>
    </xf>
    <xf numFmtId="167" fontId="2" fillId="3" borderId="1" xfId="13" applyNumberFormat="1" applyFont="1" applyFill="1" applyBorder="1" applyAlignment="1" applyProtection="1">
      <alignment horizontal="center"/>
      <protection locked="0"/>
    </xf>
    <xf numFmtId="0" fontId="9" fillId="3" borderId="1" xfId="13" applyFont="1" applyFill="1" applyBorder="1" applyAlignment="1" applyProtection="1">
      <alignment horizontal="center"/>
      <protection locked="0"/>
    </xf>
    <xf numFmtId="0" fontId="9" fillId="0" borderId="1" xfId="13" applyFont="1" applyBorder="1" applyAlignment="1" applyProtection="1">
      <alignment horizontal="center" vertical="center"/>
      <protection locked="0"/>
    </xf>
    <xf numFmtId="0" fontId="9" fillId="2" borderId="0" xfId="13" applyFont="1" applyFill="1" applyAlignment="1" applyProtection="1">
      <alignment horizontal="center"/>
      <protection locked="0"/>
    </xf>
    <xf numFmtId="0" fontId="9" fillId="0" borderId="0" xfId="13" applyFont="1" applyAlignment="1" applyProtection="1">
      <alignment horizontal="center"/>
      <protection locked="0"/>
    </xf>
    <xf numFmtId="0" fontId="4" fillId="3" borderId="0" xfId="0" applyFont="1" applyFill="1"/>
    <xf numFmtId="0" fontId="8" fillId="2" borderId="13" xfId="0" applyFont="1" applyFill="1" applyBorder="1" applyAlignment="1">
      <alignment vertical="center"/>
    </xf>
    <xf numFmtId="0" fontId="8" fillId="5" borderId="13" xfId="0" applyFont="1" applyFill="1" applyBorder="1"/>
    <xf numFmtId="0" fontId="8" fillId="5" borderId="10" xfId="0" applyFont="1" applyFill="1" applyBorder="1" applyAlignment="1">
      <alignment vertical="center"/>
    </xf>
    <xf numFmtId="0" fontId="8" fillId="5" borderId="14" xfId="0" applyFont="1" applyFill="1" applyBorder="1" applyAlignment="1">
      <alignment vertical="center"/>
    </xf>
    <xf numFmtId="0" fontId="11" fillId="6" borderId="13" xfId="0" applyFont="1" applyFill="1" applyBorder="1"/>
    <xf numFmtId="0" fontId="9" fillId="3" borderId="1" xfId="6" applyFont="1" applyFill="1" applyBorder="1" applyAlignment="1" applyProtection="1">
      <alignment horizontal="center" vertical="center"/>
      <protection locked="0"/>
    </xf>
    <xf numFmtId="0" fontId="9" fillId="2" borderId="13" xfId="13" applyFont="1" applyFill="1" applyBorder="1" applyAlignment="1" applyProtection="1">
      <alignment horizontal="center"/>
      <protection locked="0"/>
    </xf>
    <xf numFmtId="0" fontId="13" fillId="6" borderId="0" xfId="0" applyFont="1" applyFill="1"/>
    <xf numFmtId="167" fontId="17" fillId="0" borderId="1" xfId="0" applyNumberFormat="1" applyFont="1" applyBorder="1" applyAlignment="1">
      <alignment horizontal="center"/>
    </xf>
    <xf numFmtId="0" fontId="14" fillId="6" borderId="0" xfId="0" applyFont="1" applyFill="1"/>
    <xf numFmtId="0" fontId="9" fillId="0" borderId="13" xfId="13" applyFont="1" applyBorder="1" applyAlignment="1" applyProtection="1">
      <alignment horizontal="center"/>
      <protection locked="0"/>
    </xf>
    <xf numFmtId="0" fontId="8" fillId="5" borderId="8" xfId="0" applyFont="1" applyFill="1" applyBorder="1" applyAlignment="1">
      <alignment vertical="center"/>
    </xf>
    <xf numFmtId="0" fontId="9" fillId="3" borderId="16" xfId="6" applyFont="1" applyFill="1" applyBorder="1" applyAlignment="1" applyProtection="1">
      <alignment horizontal="center" vertical="center"/>
      <protection locked="0"/>
    </xf>
    <xf numFmtId="167" fontId="17" fillId="0" borderId="2" xfId="0" applyNumberFormat="1" applyFont="1" applyBorder="1" applyAlignment="1">
      <alignment horizontal="center"/>
    </xf>
    <xf numFmtId="167" fontId="2" fillId="3" borderId="16" xfId="13" applyNumberFormat="1" applyFont="1" applyFill="1" applyBorder="1" applyAlignment="1" applyProtection="1">
      <alignment horizontal="center"/>
      <protection locked="0"/>
    </xf>
    <xf numFmtId="0" fontId="14" fillId="0" borderId="1" xfId="0" applyFont="1" applyBorder="1"/>
    <xf numFmtId="167" fontId="2" fillId="0" borderId="16" xfId="13" applyNumberFormat="1" applyFont="1" applyBorder="1" applyAlignment="1" applyProtection="1">
      <alignment horizontal="center"/>
      <protection locked="0"/>
    </xf>
    <xf numFmtId="0" fontId="10" fillId="2" borderId="5" xfId="0" quotePrefix="1" applyFont="1" applyFill="1" applyBorder="1" applyAlignment="1">
      <alignment horizontal="center" vertical="center" wrapText="1"/>
    </xf>
    <xf numFmtId="49" fontId="9" fillId="2" borderId="7" xfId="0" quotePrefix="1" applyNumberFormat="1" applyFont="1" applyFill="1" applyBorder="1" applyAlignment="1">
      <alignment horizontal="center" vertical="center" wrapText="1"/>
    </xf>
    <xf numFmtId="167" fontId="9" fillId="2" borderId="7" xfId="6" quotePrefix="1" applyNumberFormat="1" applyFont="1" applyFill="1" applyBorder="1" applyAlignment="1">
      <alignment horizontal="center" vertical="center"/>
    </xf>
    <xf numFmtId="167" fontId="9" fillId="3" borderId="7" xfId="6" quotePrefix="1" applyNumberFormat="1" applyFont="1" applyFill="1" applyBorder="1" applyAlignment="1">
      <alignment horizontal="center" vertical="center"/>
    </xf>
    <xf numFmtId="167" fontId="9" fillId="3" borderId="7" xfId="6" quotePrefix="1" applyNumberFormat="1" applyFont="1" applyFill="1" applyBorder="1" applyAlignment="1">
      <alignment horizontal="center" vertical="center" wrapText="1"/>
    </xf>
    <xf numFmtId="0" fontId="29" fillId="0" borderId="1" xfId="13" applyFont="1" applyBorder="1" applyAlignment="1" applyProtection="1">
      <alignment horizontal="center" vertical="center"/>
      <protection locked="0"/>
    </xf>
    <xf numFmtId="167" fontId="0" fillId="0" borderId="0" xfId="0" applyNumberFormat="1"/>
    <xf numFmtId="0" fontId="4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right"/>
    </xf>
    <xf numFmtId="0" fontId="2" fillId="3" borderId="3" xfId="0" applyFont="1" applyFill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14" fontId="6" fillId="4" borderId="2" xfId="0" applyNumberFormat="1" applyFont="1" applyFill="1" applyBorder="1" applyAlignment="1" applyProtection="1">
      <alignment horizontal="left"/>
      <protection locked="0"/>
    </xf>
    <xf numFmtId="14" fontId="6" fillId="4" borderId="6" xfId="0" applyNumberFormat="1" applyFont="1" applyFill="1" applyBorder="1" applyAlignment="1" applyProtection="1">
      <alignment horizontal="left"/>
      <protection locked="0"/>
    </xf>
    <xf numFmtId="14" fontId="6" fillId="4" borderId="3" xfId="0" applyNumberFormat="1" applyFont="1" applyFill="1" applyBorder="1" applyAlignment="1" applyProtection="1">
      <alignment horizontal="left"/>
      <protection locked="0"/>
    </xf>
    <xf numFmtId="0" fontId="2" fillId="3" borderId="6" xfId="0" applyFont="1" applyFill="1" applyBorder="1" applyAlignment="1">
      <alignment horizontal="right"/>
    </xf>
    <xf numFmtId="0" fontId="15" fillId="4" borderId="2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14" fontId="7" fillId="4" borderId="2" xfId="0" applyNumberFormat="1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left"/>
    </xf>
    <xf numFmtId="49" fontId="2" fillId="4" borderId="2" xfId="0" applyNumberFormat="1" applyFont="1" applyFill="1" applyBorder="1" applyAlignment="1">
      <alignment horizontal="left"/>
    </xf>
    <xf numFmtId="49" fontId="2" fillId="4" borderId="6" xfId="0" applyNumberFormat="1" applyFont="1" applyFill="1" applyBorder="1" applyAlignment="1">
      <alignment horizontal="left"/>
    </xf>
    <xf numFmtId="49" fontId="2" fillId="4" borderId="3" xfId="0" applyNumberFormat="1" applyFont="1" applyFill="1" applyBorder="1" applyAlignment="1">
      <alignment horizontal="left"/>
    </xf>
    <xf numFmtId="0" fontId="8" fillId="5" borderId="2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5" borderId="11" xfId="0" applyFont="1" applyFill="1" applyBorder="1" applyAlignment="1">
      <alignment horizontal="left" vertical="center"/>
    </xf>
    <xf numFmtId="0" fontId="8" fillId="5" borderId="12" xfId="0" applyFont="1" applyFill="1" applyBorder="1" applyAlignment="1">
      <alignment horizontal="left" vertical="center"/>
    </xf>
    <xf numFmtId="0" fontId="8" fillId="5" borderId="15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49" fontId="6" fillId="4" borderId="1" xfId="0" applyNumberFormat="1" applyFont="1" applyFill="1" applyBorder="1" applyProtection="1">
      <protection locked="0"/>
    </xf>
  </cellXfs>
  <cellStyles count="17">
    <cellStyle name="___CPK__" xfId="8" xr:uid="{00000000-0005-0000-0000-000000000000}"/>
    <cellStyle name="Calc Percent (0)" xfId="3" xr:uid="{00000000-0005-0000-0000-000001000000}"/>
    <cellStyle name="Enter Currency (0)" xfId="10" xr:uid="{00000000-0005-0000-0000-000002000000}"/>
    <cellStyle name="Header1" xfId="11" xr:uid="{00000000-0005-0000-0000-000003000000}"/>
    <cellStyle name="Header2" xfId="12" xr:uid="{00000000-0005-0000-0000-000004000000}"/>
    <cellStyle name="Link Currency (0)" xfId="7" xr:uid="{00000000-0005-0000-0000-000005000000}"/>
    <cellStyle name="Normal" xfId="0" builtinId="0"/>
    <cellStyle name="Normal 2" xfId="9" xr:uid="{00000000-0005-0000-0000-000006000000}"/>
    <cellStyle name="Normal 2 2" xfId="4" xr:uid="{00000000-0005-0000-0000-000007000000}"/>
    <cellStyle name="Normal_Capability Study - IPEG EVT1 0713a.xls" xfId="13" xr:uid="{00000000-0005-0000-0000-000008000000}"/>
    <cellStyle name="Percent" xfId="2" builtinId="5"/>
    <cellStyle name="Percent 2" xfId="14" xr:uid="{00000000-0005-0000-0000-000009000000}"/>
    <cellStyle name="PrePop Currency (0)" xfId="1" xr:uid="{00000000-0005-0000-0000-00000A000000}"/>
    <cellStyle name="Text Indent A" xfId="15" xr:uid="{00000000-0005-0000-0000-00000B000000}"/>
    <cellStyle name="Text Indent B" xfId="5" xr:uid="{00000000-0005-0000-0000-00000C000000}"/>
    <cellStyle name="常规 2" xfId="16" xr:uid="{00000000-0005-0000-0000-00000F000000}"/>
    <cellStyle name="常规_8364B 2009415" xfId="6" xr:uid="{00000000-0005-0000-0000-000010000000}"/>
  </cellStyles>
  <dxfs count="212"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auto="1"/>
      </font>
      <fill>
        <patternFill patternType="none"/>
      </fill>
    </dxf>
    <dxf>
      <font>
        <color theme="0" tint="-0.249977111117893"/>
      </font>
      <fill>
        <patternFill patternType="none"/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theme="0" tint="-0.499984740745262"/>
      </font>
      <fill>
        <patternFill patternType="solid">
          <bgColor theme="0" tint="-0.14993743705557422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206518753624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28575</xdr:rowOff>
        </xdr:from>
        <xdr:to>
          <xdr:col>3</xdr:col>
          <xdr:colOff>0</xdr:colOff>
          <xdr:row>2</xdr:row>
          <xdr:rowOff>76200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9525</xdr:rowOff>
        </xdr:from>
        <xdr:to>
          <xdr:col>5</xdr:col>
          <xdr:colOff>409575</xdr:colOff>
          <xdr:row>2</xdr:row>
          <xdr:rowOff>76200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28575</xdr:rowOff>
        </xdr:from>
        <xdr:to>
          <xdr:col>7</xdr:col>
          <xdr:colOff>0</xdr:colOff>
          <xdr:row>2</xdr:row>
          <xdr:rowOff>76200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</xdr:row>
          <xdr:rowOff>9525</xdr:rowOff>
        </xdr:from>
        <xdr:to>
          <xdr:col>9</xdr:col>
          <xdr:colOff>571500</xdr:colOff>
          <xdr:row>2</xdr:row>
          <xdr:rowOff>76200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</xdr:row>
          <xdr:rowOff>9525</xdr:rowOff>
        </xdr:from>
        <xdr:to>
          <xdr:col>12</xdr:col>
          <xdr:colOff>304800</xdr:colOff>
          <xdr:row>2</xdr:row>
          <xdr:rowOff>76200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28575</xdr:rowOff>
        </xdr:from>
        <xdr:to>
          <xdr:col>3</xdr:col>
          <xdr:colOff>0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9525</xdr:rowOff>
        </xdr:from>
        <xdr:to>
          <xdr:col>3</xdr:col>
          <xdr:colOff>0</xdr:colOff>
          <xdr:row>2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28575</xdr:rowOff>
        </xdr:from>
        <xdr:to>
          <xdr:col>7</xdr:col>
          <xdr:colOff>0</xdr:colOff>
          <xdr:row>2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9525</xdr:rowOff>
        </xdr:from>
        <xdr:to>
          <xdr:col>7</xdr:col>
          <xdr:colOff>0</xdr:colOff>
          <xdr:row>2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9525</xdr:rowOff>
        </xdr:from>
        <xdr:to>
          <xdr:col>7</xdr:col>
          <xdr:colOff>0</xdr:colOff>
          <xdr:row>2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AT" sz="1200" b="0" i="0" u="none" strike="noStrike" baseline="0">
                  <a:solidFill>
                    <a:srgbClr val="000000"/>
                  </a:solidFill>
                  <a:latin typeface="Lucida Grande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I60"/>
  <sheetViews>
    <sheetView tabSelected="1" zoomScale="70" zoomScaleNormal="70" workbookViewId="0">
      <pane xSplit="14" ySplit="10" topLeftCell="O11" activePane="bottomRight" state="frozen"/>
      <selection pane="topRight"/>
      <selection pane="bottomLeft"/>
      <selection pane="bottomRight" activeCell="D12" sqref="D12"/>
    </sheetView>
  </sheetViews>
  <sheetFormatPr defaultColWidth="8.875" defaultRowHeight="15.75"/>
  <cols>
    <col min="1" max="1" width="0.75" customWidth="1"/>
    <col min="2" max="3" width="7.875" customWidth="1"/>
    <col min="4" max="4" width="24.75" customWidth="1"/>
    <col min="5" max="5" width="7.625" customWidth="1"/>
    <col min="6" max="6" width="9" customWidth="1"/>
    <col min="7" max="7" width="7.875" customWidth="1"/>
    <col min="8" max="9" width="8.375" customWidth="1"/>
    <col min="10" max="13" width="7.875" customWidth="1"/>
    <col min="14" max="14" width="1.125" customWidth="1"/>
    <col min="15" max="15" width="8.375" customWidth="1"/>
    <col min="16" max="23" width="7.875" customWidth="1"/>
    <col min="24" max="24" width="10" customWidth="1"/>
    <col min="25" max="27" width="9.625" customWidth="1"/>
    <col min="28" max="28" width="7.875" customWidth="1"/>
    <col min="29" max="29" width="9" customWidth="1"/>
    <col min="30" max="30" width="21.25" customWidth="1"/>
    <col min="31" max="33" width="9" hidden="1" customWidth="1"/>
    <col min="34" max="34" width="0.875" customWidth="1"/>
    <col min="35" max="134" width="7.875" customWidth="1"/>
  </cols>
  <sheetData>
    <row r="1" spans="1:217" s="5" customFormat="1" ht="21.95" customHeight="1">
      <c r="A1" s="91" t="s">
        <v>0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8"/>
      <c r="AE1" s="8"/>
      <c r="AF1" s="8"/>
      <c r="AG1" s="8"/>
      <c r="AH1" s="66"/>
    </row>
    <row r="2" spans="1:217" s="5" customFormat="1" ht="14.1" customHeight="1">
      <c r="B2" s="9" t="s">
        <v>1</v>
      </c>
      <c r="C2" s="9"/>
      <c r="D2" s="10"/>
      <c r="E2" s="10"/>
      <c r="F2" s="10"/>
      <c r="I2" s="10"/>
      <c r="J2" s="10"/>
      <c r="K2" s="10"/>
      <c r="L2" s="10"/>
      <c r="M2" s="10"/>
      <c r="O2" s="10"/>
      <c r="P2" s="10"/>
      <c r="Q2" s="10"/>
      <c r="R2" s="10"/>
      <c r="S2" s="4"/>
      <c r="T2" s="92" t="s">
        <v>2</v>
      </c>
      <c r="U2" s="92"/>
      <c r="V2" s="4"/>
      <c r="Z2" s="10"/>
      <c r="AC2" s="10"/>
      <c r="AD2" s="10"/>
      <c r="AE2" s="10"/>
      <c r="AF2" s="10"/>
      <c r="AG2" s="10"/>
      <c r="AH2" s="10"/>
    </row>
    <row r="3" spans="1:217" s="5" customFormat="1" ht="9" customHeight="1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217" s="5" customFormat="1" ht="18.75" customHeight="1">
      <c r="B4" s="93" t="s">
        <v>3</v>
      </c>
      <c r="C4" s="94"/>
      <c r="D4" s="119" t="s">
        <v>76</v>
      </c>
      <c r="E4" s="12"/>
      <c r="F4" s="95" t="s">
        <v>4</v>
      </c>
      <c r="G4" s="96"/>
      <c r="H4" s="97" t="s">
        <v>5</v>
      </c>
      <c r="I4" s="98"/>
      <c r="J4" s="98"/>
      <c r="K4" s="98"/>
      <c r="L4" s="98"/>
      <c r="M4" s="99"/>
      <c r="N4" s="32"/>
      <c r="O4" s="93" t="s">
        <v>6</v>
      </c>
      <c r="P4" s="100"/>
      <c r="Q4" s="94"/>
      <c r="R4" s="101" t="s">
        <v>80</v>
      </c>
      <c r="S4" s="102"/>
      <c r="T4" s="102"/>
      <c r="U4" s="103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HI4" s="5" t="e">
        <f>'SS1-1'!#REF!</f>
        <v>#REF!</v>
      </c>
    </row>
    <row r="5" spans="1:217" s="5" customFormat="1" ht="18.75" customHeight="1">
      <c r="B5" s="93" t="s">
        <v>7</v>
      </c>
      <c r="C5" s="94"/>
      <c r="D5" s="11" t="s">
        <v>77</v>
      </c>
      <c r="E5" s="12"/>
      <c r="F5" s="95" t="s">
        <v>8</v>
      </c>
      <c r="G5" s="96"/>
      <c r="H5" s="104" t="s">
        <v>78</v>
      </c>
      <c r="I5" s="98"/>
      <c r="J5" s="98"/>
      <c r="K5" s="98"/>
      <c r="L5" s="98"/>
      <c r="M5" s="99"/>
      <c r="N5" s="32"/>
      <c r="O5" s="93" t="s">
        <v>9</v>
      </c>
      <c r="P5" s="100"/>
      <c r="Q5" s="94"/>
      <c r="R5" s="105" t="s">
        <v>81</v>
      </c>
      <c r="S5" s="102"/>
      <c r="T5" s="102"/>
      <c r="U5" s="103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</row>
    <row r="6" spans="1:217" s="5" customFormat="1" ht="18.75" customHeight="1">
      <c r="B6" s="93" t="s">
        <v>10</v>
      </c>
      <c r="C6" s="94"/>
      <c r="D6" s="13" t="s">
        <v>75</v>
      </c>
      <c r="E6" s="12"/>
      <c r="F6" s="95" t="s">
        <v>11</v>
      </c>
      <c r="G6" s="96"/>
      <c r="H6" s="104" t="s">
        <v>79</v>
      </c>
      <c r="I6" s="98"/>
      <c r="J6" s="98"/>
      <c r="K6" s="98"/>
      <c r="L6" s="98"/>
      <c r="M6" s="99"/>
      <c r="N6" s="32"/>
      <c r="O6" s="93" t="s">
        <v>12</v>
      </c>
      <c r="P6" s="100"/>
      <c r="Q6" s="94"/>
      <c r="R6" s="106" t="s">
        <v>82</v>
      </c>
      <c r="S6" s="107"/>
      <c r="T6" s="107"/>
      <c r="U6" s="108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</row>
    <row r="7" spans="1:217" s="5" customFormat="1" ht="9" customHeight="1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0"/>
    </row>
    <row r="8" spans="1:217" s="6" customFormat="1" ht="15" customHeight="1">
      <c r="A8" s="15"/>
      <c r="B8" s="109" t="s">
        <v>13</v>
      </c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1"/>
      <c r="N8" s="15"/>
      <c r="O8" s="109" t="s">
        <v>14</v>
      </c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1"/>
      <c r="AE8" s="112" t="s">
        <v>15</v>
      </c>
      <c r="AF8" s="112"/>
      <c r="AG8" s="112"/>
      <c r="AH8" s="15"/>
      <c r="AI8" s="113" t="s">
        <v>16</v>
      </c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  <c r="AW8" s="114"/>
      <c r="AX8" s="114"/>
      <c r="AY8" s="114"/>
      <c r="AZ8" s="114"/>
      <c r="BA8" s="114"/>
      <c r="BB8" s="114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5"/>
    </row>
    <row r="9" spans="1:217" s="6" customFormat="1" ht="24.95" customHeight="1">
      <c r="A9" s="16"/>
      <c r="B9" s="17"/>
      <c r="C9" s="17"/>
      <c r="D9" s="17"/>
      <c r="E9" s="17"/>
      <c r="F9" s="17"/>
      <c r="G9" s="18"/>
      <c r="H9" s="84" t="s">
        <v>17</v>
      </c>
      <c r="I9" s="84" t="s">
        <v>18</v>
      </c>
      <c r="J9" s="33"/>
      <c r="K9" s="33"/>
      <c r="L9" s="34"/>
      <c r="M9" s="34"/>
      <c r="N9" s="16"/>
      <c r="O9" s="35"/>
      <c r="P9" s="35"/>
      <c r="Q9" s="47"/>
      <c r="R9" s="35"/>
      <c r="S9" s="48"/>
      <c r="T9" s="48"/>
      <c r="U9" s="48"/>
      <c r="V9" s="48"/>
      <c r="W9" s="48"/>
      <c r="X9" s="116" t="s">
        <v>19</v>
      </c>
      <c r="Y9" s="117"/>
      <c r="Z9" s="49" t="s">
        <v>20</v>
      </c>
      <c r="AA9" s="56">
        <v>1.5</v>
      </c>
      <c r="AB9" s="57"/>
      <c r="AC9" s="57"/>
      <c r="AD9" s="58"/>
      <c r="AE9" s="59"/>
      <c r="AF9" s="59"/>
      <c r="AG9" s="67"/>
      <c r="AH9" s="68"/>
      <c r="AI9" s="69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8"/>
    </row>
    <row r="10" spans="1:217" s="7" customFormat="1" ht="24">
      <c r="A10" s="19"/>
      <c r="B10" s="20" t="s">
        <v>21</v>
      </c>
      <c r="C10" s="20" t="s">
        <v>22</v>
      </c>
      <c r="D10" s="20" t="s">
        <v>23</v>
      </c>
      <c r="E10" s="20" t="s">
        <v>24</v>
      </c>
      <c r="F10" s="20" t="s">
        <v>25</v>
      </c>
      <c r="G10" s="21" t="s">
        <v>26</v>
      </c>
      <c r="H10" s="85" t="s">
        <v>27</v>
      </c>
      <c r="I10" s="85" t="s">
        <v>28</v>
      </c>
      <c r="J10" s="36" t="s">
        <v>29</v>
      </c>
      <c r="K10" s="36" t="s">
        <v>30</v>
      </c>
      <c r="L10" s="37" t="s">
        <v>31</v>
      </c>
      <c r="M10" s="37" t="s">
        <v>32</v>
      </c>
      <c r="N10" s="19"/>
      <c r="O10" s="38" t="s">
        <v>33</v>
      </c>
      <c r="P10" s="38" t="s">
        <v>34</v>
      </c>
      <c r="Q10" s="50" t="s">
        <v>35</v>
      </c>
      <c r="R10" s="38" t="s">
        <v>36</v>
      </c>
      <c r="S10" s="51" t="s">
        <v>37</v>
      </c>
      <c r="T10" s="51" t="s">
        <v>38</v>
      </c>
      <c r="U10" s="51" t="s">
        <v>39</v>
      </c>
      <c r="V10" s="51" t="s">
        <v>40</v>
      </c>
      <c r="W10" s="51" t="s">
        <v>41</v>
      </c>
      <c r="X10" s="86" t="s">
        <v>42</v>
      </c>
      <c r="Y10" s="86" t="s">
        <v>43</v>
      </c>
      <c r="Z10" s="87" t="s">
        <v>44</v>
      </c>
      <c r="AA10" s="88" t="s">
        <v>45</v>
      </c>
      <c r="AB10" s="60" t="s">
        <v>46</v>
      </c>
      <c r="AC10" s="60" t="s">
        <v>47</v>
      </c>
      <c r="AD10" s="60" t="s">
        <v>48</v>
      </c>
      <c r="AE10" s="59"/>
      <c r="AF10" s="59"/>
      <c r="AG10" s="67"/>
      <c r="AH10" s="71"/>
      <c r="AI10" s="72">
        <v>1</v>
      </c>
      <c r="AJ10" s="72">
        <v>2</v>
      </c>
      <c r="AK10" s="72">
        <v>3</v>
      </c>
      <c r="AL10" s="72">
        <v>4</v>
      </c>
      <c r="AM10" s="72">
        <v>5</v>
      </c>
      <c r="AN10" s="72">
        <v>6</v>
      </c>
      <c r="AO10" s="72">
        <v>7</v>
      </c>
      <c r="AP10" s="72">
        <v>8</v>
      </c>
      <c r="AQ10" s="72">
        <v>9</v>
      </c>
      <c r="AR10" s="72">
        <v>10</v>
      </c>
      <c r="AS10" s="72">
        <v>11</v>
      </c>
      <c r="AT10" s="72">
        <v>12</v>
      </c>
      <c r="AU10" s="72">
        <v>13</v>
      </c>
      <c r="AV10" s="72">
        <v>14</v>
      </c>
      <c r="AW10" s="72">
        <v>15</v>
      </c>
      <c r="AX10" s="72">
        <v>16</v>
      </c>
      <c r="AY10" s="72">
        <v>17</v>
      </c>
      <c r="AZ10" s="72">
        <v>18</v>
      </c>
      <c r="BA10" s="72">
        <v>19</v>
      </c>
      <c r="BB10" s="72">
        <v>20</v>
      </c>
      <c r="BC10" s="72">
        <v>21</v>
      </c>
      <c r="BD10" s="72">
        <v>22</v>
      </c>
      <c r="BE10" s="72">
        <v>23</v>
      </c>
      <c r="BF10" s="72">
        <v>24</v>
      </c>
      <c r="BG10" s="72">
        <v>25</v>
      </c>
      <c r="BH10" s="72">
        <v>26</v>
      </c>
      <c r="BI10" s="72">
        <v>27</v>
      </c>
      <c r="BJ10" s="72">
        <v>28</v>
      </c>
      <c r="BK10" s="72">
        <v>29</v>
      </c>
      <c r="BL10" s="72">
        <v>30</v>
      </c>
      <c r="BM10" s="72">
        <v>31</v>
      </c>
      <c r="BN10" s="72">
        <v>32</v>
      </c>
      <c r="BO10" s="79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  <c r="CZ10" s="72"/>
      <c r="DA10" s="72"/>
      <c r="DB10" s="72"/>
      <c r="DC10" s="72"/>
      <c r="DD10" s="72"/>
      <c r="DE10" s="72"/>
      <c r="DF10" s="72"/>
      <c r="DG10" s="72"/>
      <c r="DH10" s="72"/>
      <c r="DI10" s="72"/>
      <c r="DJ10" s="72"/>
      <c r="DK10" s="72"/>
      <c r="DL10" s="72"/>
      <c r="DM10" s="72"/>
      <c r="DN10" s="72"/>
      <c r="DO10" s="72"/>
      <c r="DP10" s="72"/>
      <c r="DQ10" s="72"/>
      <c r="DR10" s="72"/>
      <c r="DS10" s="72"/>
      <c r="DT10" s="72"/>
      <c r="DU10" s="72"/>
      <c r="DV10" s="72"/>
      <c r="DW10" s="72"/>
      <c r="DX10" s="72"/>
      <c r="DY10" s="72"/>
      <c r="DZ10" s="72"/>
      <c r="EA10" s="72"/>
      <c r="EB10" s="72"/>
      <c r="EC10" s="72"/>
      <c r="ED10" s="72"/>
    </row>
    <row r="11" spans="1:217" ht="15" customHeight="1">
      <c r="A11" s="22"/>
      <c r="B11" s="23" t="s">
        <v>49</v>
      </c>
      <c r="C11" s="24" t="s">
        <v>83</v>
      </c>
      <c r="D11" s="23"/>
      <c r="E11" s="23">
        <v>1.33</v>
      </c>
      <c r="F11" s="25" t="s">
        <v>50</v>
      </c>
      <c r="G11" s="26">
        <v>26.062999999999999</v>
      </c>
      <c r="H11" s="27">
        <v>0.03</v>
      </c>
      <c r="I11" s="27">
        <v>-0.03</v>
      </c>
      <c r="J11" s="39" t="s">
        <v>51</v>
      </c>
      <c r="K11" s="40" t="s">
        <v>52</v>
      </c>
      <c r="L11" s="41">
        <f t="shared" ref="L11" si="0">IF(AND(G11="",H11=""),"",IF(G11="",H11,G11+H11))</f>
        <v>26.093</v>
      </c>
      <c r="M11" s="42">
        <f t="shared" ref="M11" si="1">IF(AND(G11="",I11=""),"",IF(G11="",I11,G11+I11))</f>
        <v>26.032999999999998</v>
      </c>
      <c r="N11" s="43"/>
      <c r="O11" s="44">
        <f t="shared" ref="O11" si="2">IF(OR($AI11="",ISNUMBER($AI11)=FALSE),"",MAX(AI11:ED11))</f>
        <v>26.0791</v>
      </c>
      <c r="P11" s="44">
        <f t="shared" ref="P11" si="3">IF(OR($AI11="",ISNUMBER($AI11)=FALSE),"",MIN(AI11:ED11))</f>
        <v>26.0641</v>
      </c>
      <c r="Q11" s="44">
        <f t="shared" ref="Q11" si="4">IF(OR($AI11="",ISNUMBER($AI11)=FALSE),"",AVERAGE(AI11:ED11))</f>
        <v>26.070510344827586</v>
      </c>
      <c r="R11" s="52">
        <f t="shared" ref="R11" si="5">IF(OR($AI11="",ISNUMBER($AI11)=FALSE),"",STDEV(AI11:ED11))</f>
        <v>3.9788139678971031E-3</v>
      </c>
      <c r="S11" s="53">
        <f t="shared" ref="S11" si="6">IF(OR($AI11="",ISNUMBER($AI11)=FALSE),"",IF(AND(G11=0,I11=0),T11,IF(AND(G11="",H11=""),U11,(H11+ABS(I11))/(6*R11))))</f>
        <v>2.5133117759926926</v>
      </c>
      <c r="T11" s="53">
        <f t="shared" ref="T11" si="7">IF(OR($AI11="",ISNUMBER($AI11)=FALSE),"",IF(H11="","",(L11-Q11)/(3*R11)))</f>
        <v>1.8841171727614612</v>
      </c>
      <c r="U11" s="53">
        <f t="shared" ref="U11" si="8">IF(OR($AI11="",ISNUMBER($AI11)=FALSE),"",IF(I11="","",(Q11-M11)/(3*R11)))</f>
        <v>3.1425063792241148</v>
      </c>
      <c r="V11" s="53">
        <f t="shared" ref="V11" si="9">IF(OR($AI11="",ISNUMBER($AI11)=FALSE),"",IF(AND(G11=0,I11=0),((H11)-(Q11))/(3*R11),MIN(T11:U11)))</f>
        <v>1.8841171727614612</v>
      </c>
      <c r="W11" s="54">
        <f t="shared" ref="W11" si="10">IF(OR($AI11="",ISNUMBER($AI11)=FALSE),"",IF(AND(G11=0,I11=0),NORMSDIST(3*V11),NORMSDIST(3*V11)+NORMSDIST(6*S11-3*V11)-1))</f>
        <v>0.99999999208662493</v>
      </c>
      <c r="X11" s="55" t="str">
        <f t="shared" ref="X11" si="11">IF($Q11="","",IF(F11="Tolerance",IF(($E11*3*R11+Q11)-G11&lt;H11,"",($E11*3*R11+Q11)-G11),IF(OR(F11="GD&amp;T",F11="MAX"),IF(($E11*3*R11+Q11)&lt;H11,"",($E11*3*R11+Q11)),"")))</f>
        <v/>
      </c>
      <c r="Y11" s="55" t="str">
        <f t="shared" ref="Y11" si="12">IF(Q11="","",IF(F11="Tolerance",IF(-(($E11*3*R11)-Q11)-G11&gt;I11,"",-(($E11*3*R11)-Q11)-G11),IF(F11="MIN",IF(-(($E11*3*R11)-Q11)&gt;I11,"",-(($E11*3*R11)-Q11)),"")))</f>
        <v/>
      </c>
      <c r="Z11" s="55">
        <f t="shared" ref="Z11" si="13">IF(OR(G11="",Q11=""),"",(L11+M11)/2-Q11)</f>
        <v>-7.5103448275868345E-3</v>
      </c>
      <c r="AA11" s="55" t="str">
        <f t="shared" ref="AA11:AA27" si="14">IF(OR($S11&gt;$AA$9,$R11=""),"",$AA$9*6*$R11)</f>
        <v/>
      </c>
      <c r="AB11" s="61"/>
      <c r="AC11" s="62"/>
      <c r="AD11" s="63"/>
      <c r="AE11" s="64"/>
      <c r="AF11" s="64"/>
      <c r="AG11" s="73"/>
      <c r="AH11" s="74"/>
      <c r="AI11" s="75">
        <v>26.072800000000001</v>
      </c>
      <c r="AJ11" s="75">
        <v>26.072500000000002</v>
      </c>
      <c r="AK11" s="75">
        <v>26.075600000000001</v>
      </c>
      <c r="AL11" s="75">
        <v>26.0761</v>
      </c>
      <c r="AM11" s="75">
        <v>26.067399999999999</v>
      </c>
      <c r="AN11" s="75">
        <v>26.070499999999999</v>
      </c>
      <c r="AO11" s="75">
        <v>26.070699999999999</v>
      </c>
      <c r="AP11" s="75">
        <v>26.0791</v>
      </c>
      <c r="AQ11" s="75">
        <v>26.075099999999999</v>
      </c>
      <c r="AR11" s="75">
        <v>26.071000000000002</v>
      </c>
      <c r="AS11" s="75">
        <v>26.070499999999999</v>
      </c>
      <c r="AT11" s="75">
        <v>26.067</v>
      </c>
      <c r="AU11" s="75">
        <v>26.0688</v>
      </c>
      <c r="AV11" s="75">
        <v>26.0684</v>
      </c>
      <c r="AW11" s="75">
        <v>26.066600000000001</v>
      </c>
      <c r="AX11" s="75">
        <v>26.072399999999998</v>
      </c>
      <c r="AY11" s="75">
        <v>26.0717</v>
      </c>
      <c r="AZ11" s="75">
        <v>26.0641</v>
      </c>
      <c r="BA11" s="75">
        <v>26.071200000000001</v>
      </c>
      <c r="BB11" s="75">
        <v>26.065999999999999</v>
      </c>
      <c r="BC11" s="75">
        <v>26.076499999999999</v>
      </c>
      <c r="BD11" s="75">
        <v>26.065100000000001</v>
      </c>
      <c r="BE11" s="75">
        <v>26.074400000000001</v>
      </c>
      <c r="BF11" s="75">
        <v>26.0687</v>
      </c>
      <c r="BG11" s="75">
        <v>26.065200000000001</v>
      </c>
      <c r="BH11" s="75">
        <v>26.075299999999999</v>
      </c>
      <c r="BI11" s="75">
        <v>26.065799999999999</v>
      </c>
      <c r="BJ11" s="75">
        <v>26.069199999999999</v>
      </c>
      <c r="BK11" s="75">
        <v>26.0671</v>
      </c>
      <c r="BL11" s="75"/>
      <c r="BM11" s="75"/>
      <c r="BN11" s="80"/>
      <c r="BO11" s="81"/>
      <c r="BP11" s="82"/>
      <c r="BQ11" s="82"/>
      <c r="BR11" s="82"/>
      <c r="BS11" s="82"/>
      <c r="BT11" s="82"/>
      <c r="BU11" s="82"/>
      <c r="BV11" s="82"/>
      <c r="BW11" s="82"/>
      <c r="BX11" s="82"/>
      <c r="BY11" s="82"/>
      <c r="BZ11" s="82"/>
      <c r="CA11" s="82"/>
      <c r="CB11" s="82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82"/>
      <c r="CP11" s="82"/>
      <c r="CQ11" s="82"/>
      <c r="CR11" s="82"/>
      <c r="CS11" s="82"/>
      <c r="CT11" s="82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2"/>
      <c r="DG11" s="82"/>
      <c r="DH11" s="82"/>
      <c r="DI11" s="82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2"/>
      <c r="DZ11" s="82"/>
      <c r="EA11" s="82"/>
      <c r="EB11" s="82"/>
      <c r="EC11" s="82"/>
      <c r="ED11" s="82"/>
    </row>
    <row r="12" spans="1:217" ht="15" customHeight="1">
      <c r="A12" s="22"/>
      <c r="B12" s="23" t="s">
        <v>49</v>
      </c>
      <c r="C12" s="24" t="s">
        <v>84</v>
      </c>
      <c r="D12" s="23"/>
      <c r="E12" s="23">
        <v>1.33</v>
      </c>
      <c r="F12" s="25" t="s">
        <v>50</v>
      </c>
      <c r="G12" s="26">
        <v>24.936</v>
      </c>
      <c r="H12" s="27">
        <v>0.03</v>
      </c>
      <c r="I12" s="27">
        <v>-0.03</v>
      </c>
      <c r="J12" s="39" t="s">
        <v>51</v>
      </c>
      <c r="K12" s="40" t="s">
        <v>52</v>
      </c>
      <c r="L12" s="41">
        <f t="shared" ref="L12:L25" si="15">IF(AND(G12="",H12=""),"",IF(G12="",H12,G12+H12))</f>
        <v>24.966000000000001</v>
      </c>
      <c r="M12" s="42">
        <f t="shared" ref="M12:M25" si="16">IF(AND(G12="",I12=""),"",IF(G12="",I12,G12+I12))</f>
        <v>24.905999999999999</v>
      </c>
      <c r="N12" s="45"/>
      <c r="O12" s="44">
        <f t="shared" ref="O12:O27" si="17">IF(OR($AI12="",ISNUMBER($AI12)=FALSE),"",MAX(AI12:ED12))</f>
        <v>24.9635</v>
      </c>
      <c r="P12" s="44">
        <f t="shared" ref="P12:P27" si="18">IF(OR($AI12="",ISNUMBER($AI12)=FALSE),"",MIN(AI12:ED12))</f>
        <v>24.948699999999999</v>
      </c>
      <c r="Q12" s="44">
        <f t="shared" ref="Q12:Q27" si="19">IF(OR($AI12="",ISNUMBER($AI12)=FALSE),"",AVERAGE(AI12:ED12))</f>
        <v>24.955255172413793</v>
      </c>
      <c r="R12" s="52">
        <f t="shared" ref="R12:R27" si="20">IF(OR($AI12="",ISNUMBER($AI12)=FALSE),"",STDEV(AI12:ED12))</f>
        <v>3.4437921588708711E-3</v>
      </c>
      <c r="S12" s="53">
        <f t="shared" ref="S12:S27" si="21">IF(OR($AI12="",ISNUMBER($AI12)=FALSE),"",IF(AND(G12=0,I12=0),T12,IF(AND(G12="",H12=""),U12,(H12+ABS(I12))/(6*R12))))</f>
        <v>2.9037757038388565</v>
      </c>
      <c r="T12" s="53">
        <f t="shared" ref="T12:T27" si="22">IF(OR($AI12="",ISNUMBER($AI12)=FALSE),"",IF(H12="","",(L12-Q12)/(3*R12)))</f>
        <v>1.0400189762256407</v>
      </c>
      <c r="U12" s="53">
        <f t="shared" ref="U12:U27" si="23">IF(OR($AI12="",ISNUMBER($AI12)=FALSE),"",IF(I12="","",(Q12-M12)/(3*R12)))</f>
        <v>4.7675324314522927</v>
      </c>
      <c r="V12" s="53">
        <f t="shared" ref="V12:V27" si="24">IF(OR($AI12="",ISNUMBER($AI12)=FALSE),"",IF(AND(G12=0,I12=0),((H12)-(Q12))/(3*R12),MIN(T12:U12)))</f>
        <v>1.0400189762256407</v>
      </c>
      <c r="W12" s="54">
        <f t="shared" ref="W12:W27" si="25">IF(OR($AI12="",ISNUMBER($AI12)=FALSE),"",IF(AND(G12=0,I12=0),NORMSDIST(3*V12),NORMSDIST(3*V12)+NORMSDIST(6*S12-3*V12)-1))</f>
        <v>0.99909591954506771</v>
      </c>
      <c r="X12" s="55">
        <f t="shared" ref="X12:X27" si="26">IF($Q12="","",IF(F12="Tolerance",IF(($E12*3*R12+Q12)-G12&lt;H12,"",($E12*3*R12+Q12)-G12),IF(OR(F12="GD&amp;T",F12="MAX"),IF(($E12*3*R12+Q12)&lt;H12,"",($E12*3*R12+Q12)),"")))</f>
        <v>3.2995903127687853E-2</v>
      </c>
      <c r="Y12" s="55" t="str">
        <f t="shared" ref="Y12:Y27" si="27">IF(Q12="","",IF(F12="Tolerance",IF(-(($E12*3*R12)-Q12)-G12&gt;I12,"",-(($E12*3*R12)-Q12)-G12),IF(F12="MIN",IF(-(($E12*3*R12)-Q12)&gt;I12,"",-(($E12*3*R12)-Q12)),"")))</f>
        <v/>
      </c>
      <c r="Z12" s="55">
        <f t="shared" ref="Z12:Z27" si="28">IF(OR(G12="",Q12=""),"",(L12+M12)/2-Q12)</f>
        <v>-1.925517241379282E-2</v>
      </c>
      <c r="AA12" s="55" t="str">
        <f t="shared" si="14"/>
        <v/>
      </c>
      <c r="AB12" s="61"/>
      <c r="AC12" s="62"/>
      <c r="AD12" s="63"/>
      <c r="AE12" s="64"/>
      <c r="AF12" s="64"/>
      <c r="AG12" s="73"/>
      <c r="AH12" s="74"/>
      <c r="AI12" s="75">
        <v>24.9605</v>
      </c>
      <c r="AJ12" s="75">
        <v>24.962900000000001</v>
      </c>
      <c r="AK12" s="75">
        <v>24.9635</v>
      </c>
      <c r="AL12" s="75">
        <v>24.955100000000002</v>
      </c>
      <c r="AM12" s="75">
        <v>24.956099999999999</v>
      </c>
      <c r="AN12" s="75">
        <v>24.956099999999999</v>
      </c>
      <c r="AO12" s="75">
        <v>24.958300000000001</v>
      </c>
      <c r="AP12" s="75">
        <v>24.958500000000001</v>
      </c>
      <c r="AQ12" s="75">
        <v>24.956600000000002</v>
      </c>
      <c r="AR12" s="75">
        <v>24.9575</v>
      </c>
      <c r="AS12" s="75">
        <v>24.955100000000002</v>
      </c>
      <c r="AT12" s="75">
        <v>24.953399999999998</v>
      </c>
      <c r="AU12" s="75">
        <v>24.9542</v>
      </c>
      <c r="AV12" s="75">
        <v>24.950900000000001</v>
      </c>
      <c r="AW12" s="75">
        <v>24.950399999999998</v>
      </c>
      <c r="AX12" s="75">
        <v>24.953399999999998</v>
      </c>
      <c r="AY12" s="75">
        <v>24.9559</v>
      </c>
      <c r="AZ12" s="75">
        <v>24.9557</v>
      </c>
      <c r="BA12" s="75">
        <v>24.953700000000001</v>
      </c>
      <c r="BB12" s="75">
        <v>24.951799999999999</v>
      </c>
      <c r="BC12" s="75">
        <v>24.954599999999999</v>
      </c>
      <c r="BD12" s="75">
        <v>24.955500000000001</v>
      </c>
      <c r="BE12" s="75">
        <v>24.956900000000001</v>
      </c>
      <c r="BF12" s="75">
        <v>24.9498</v>
      </c>
      <c r="BG12" s="75">
        <v>24.953099999999999</v>
      </c>
      <c r="BH12" s="75">
        <v>24.956</v>
      </c>
      <c r="BI12" s="75">
        <v>24.948699999999999</v>
      </c>
      <c r="BJ12" s="75">
        <v>24.954699999999999</v>
      </c>
      <c r="BK12" s="75">
        <v>24.953499999999998</v>
      </c>
      <c r="BL12" s="75"/>
      <c r="BM12" s="75"/>
      <c r="BN12" s="80"/>
      <c r="BO12" s="81"/>
      <c r="BP12" s="82"/>
      <c r="BQ12" s="82"/>
      <c r="BR12" s="82"/>
      <c r="BS12" s="82"/>
      <c r="BT12" s="82"/>
      <c r="BU12" s="82"/>
      <c r="BV12" s="82"/>
      <c r="BW12" s="82"/>
      <c r="BX12" s="82"/>
      <c r="BY12" s="82"/>
      <c r="BZ12" s="82"/>
      <c r="CA12" s="82"/>
      <c r="CB12" s="82"/>
      <c r="CC12" s="82"/>
      <c r="CD12" s="82"/>
      <c r="CE12" s="82"/>
      <c r="CF12" s="82"/>
      <c r="CG12" s="82"/>
      <c r="CH12" s="82"/>
      <c r="CI12" s="82"/>
      <c r="CJ12" s="82"/>
      <c r="CK12" s="82"/>
      <c r="CL12" s="82"/>
      <c r="CM12" s="82"/>
      <c r="CN12" s="82"/>
      <c r="CO12" s="82"/>
      <c r="CP12" s="82"/>
      <c r="CQ12" s="82"/>
      <c r="CR12" s="82"/>
      <c r="CS12" s="82"/>
      <c r="CT12" s="82"/>
      <c r="CU12" s="82"/>
      <c r="CV12" s="82"/>
      <c r="CW12" s="82"/>
      <c r="CX12" s="82"/>
      <c r="CY12" s="82"/>
      <c r="CZ12" s="82"/>
      <c r="DA12" s="82"/>
      <c r="DB12" s="82"/>
      <c r="DC12" s="82"/>
      <c r="DD12" s="82"/>
      <c r="DE12" s="82"/>
      <c r="DF12" s="82"/>
      <c r="DG12" s="82"/>
      <c r="DH12" s="82"/>
      <c r="DI12" s="82"/>
      <c r="DJ12" s="82"/>
      <c r="DK12" s="82"/>
      <c r="DL12" s="82"/>
      <c r="DM12" s="82"/>
      <c r="DN12" s="82"/>
      <c r="DO12" s="82"/>
      <c r="DP12" s="82"/>
      <c r="DQ12" s="82"/>
      <c r="DR12" s="82"/>
      <c r="DS12" s="82"/>
      <c r="DT12" s="82"/>
      <c r="DU12" s="82"/>
      <c r="DV12" s="82"/>
      <c r="DW12" s="82"/>
      <c r="DX12" s="82"/>
      <c r="DY12" s="82"/>
      <c r="DZ12" s="82"/>
      <c r="EA12" s="82"/>
      <c r="EB12" s="82"/>
      <c r="EC12" s="82"/>
      <c r="ED12" s="82"/>
    </row>
    <row r="13" spans="1:217" ht="15" customHeight="1">
      <c r="A13" s="22"/>
      <c r="B13" s="23" t="s">
        <v>49</v>
      </c>
      <c r="C13" s="24" t="s">
        <v>85</v>
      </c>
      <c r="D13" s="23"/>
      <c r="E13" s="23">
        <v>1.33</v>
      </c>
      <c r="F13" s="25" t="s">
        <v>50</v>
      </c>
      <c r="G13" s="26">
        <v>13.327</v>
      </c>
      <c r="H13" s="27">
        <v>0.03</v>
      </c>
      <c r="I13" s="27">
        <v>-0.03</v>
      </c>
      <c r="J13" s="39" t="s">
        <v>51</v>
      </c>
      <c r="K13" s="40" t="s">
        <v>52</v>
      </c>
      <c r="L13" s="41">
        <f t="shared" si="15"/>
        <v>13.356999999999999</v>
      </c>
      <c r="M13" s="42">
        <f t="shared" si="16"/>
        <v>13.297000000000001</v>
      </c>
      <c r="N13" s="46"/>
      <c r="O13" s="44">
        <f t="shared" si="17"/>
        <v>13.352399999999999</v>
      </c>
      <c r="P13" s="44">
        <f t="shared" si="18"/>
        <v>13.3109</v>
      </c>
      <c r="Q13" s="44">
        <f t="shared" si="19"/>
        <v>13.336727586206898</v>
      </c>
      <c r="R13" s="52">
        <f t="shared" si="20"/>
        <v>9.5504261891336852E-3</v>
      </c>
      <c r="S13" s="53">
        <f t="shared" si="21"/>
        <v>1.0470736909498166</v>
      </c>
      <c r="T13" s="53">
        <f t="shared" si="22"/>
        <v>0.70755703782682211</v>
      </c>
      <c r="U13" s="53">
        <f t="shared" si="23"/>
        <v>1.3865903440727667</v>
      </c>
      <c r="V13" s="53">
        <f t="shared" si="24"/>
        <v>0.70755703782682211</v>
      </c>
      <c r="W13" s="54">
        <f t="shared" si="25"/>
        <v>0.98309336103763068</v>
      </c>
      <c r="X13" s="55">
        <f t="shared" si="26"/>
        <v>4.7833786701541925E-2</v>
      </c>
      <c r="Y13" s="55" t="str">
        <f t="shared" si="27"/>
        <v/>
      </c>
      <c r="Z13" s="55">
        <f t="shared" si="28"/>
        <v>-9.7275862068979535E-3</v>
      </c>
      <c r="AA13" s="55">
        <f t="shared" si="14"/>
        <v>8.5953835702203163E-2</v>
      </c>
      <c r="AB13" s="61"/>
      <c r="AC13" s="62"/>
      <c r="AD13" s="63"/>
      <c r="AE13" s="64"/>
      <c r="AF13" s="64"/>
      <c r="AG13" s="73"/>
      <c r="AH13" s="76"/>
      <c r="AI13" s="75">
        <v>13.328900000000001</v>
      </c>
      <c r="AJ13" s="75">
        <v>13.3414</v>
      </c>
      <c r="AK13" s="75">
        <v>13.341699999999999</v>
      </c>
      <c r="AL13" s="75">
        <v>13.3347</v>
      </c>
      <c r="AM13" s="75">
        <v>13.351800000000001</v>
      </c>
      <c r="AN13" s="75">
        <v>13.3314</v>
      </c>
      <c r="AO13" s="75">
        <v>13.3338</v>
      </c>
      <c r="AP13" s="75">
        <v>13.352399999999999</v>
      </c>
      <c r="AQ13" s="75">
        <v>13.3474</v>
      </c>
      <c r="AR13" s="75">
        <v>13.3393</v>
      </c>
      <c r="AS13" s="75">
        <v>13.3354</v>
      </c>
      <c r="AT13" s="75">
        <v>13.333299999999999</v>
      </c>
      <c r="AU13" s="75">
        <v>13.340400000000001</v>
      </c>
      <c r="AV13" s="75">
        <v>13.3377</v>
      </c>
      <c r="AW13" s="75">
        <v>13.3338</v>
      </c>
      <c r="AX13" s="75">
        <v>13.346</v>
      </c>
      <c r="AY13" s="75">
        <v>13.345800000000001</v>
      </c>
      <c r="AZ13" s="75">
        <v>13.3348</v>
      </c>
      <c r="BA13" s="75">
        <v>13.3461</v>
      </c>
      <c r="BB13" s="75">
        <v>13.340999999999999</v>
      </c>
      <c r="BC13" s="75">
        <v>13.331</v>
      </c>
      <c r="BD13" s="75">
        <v>13.3386</v>
      </c>
      <c r="BE13" s="75">
        <v>13.3294</v>
      </c>
      <c r="BF13" s="75">
        <v>13.341200000000001</v>
      </c>
      <c r="BG13" s="75">
        <v>13.342000000000001</v>
      </c>
      <c r="BH13" s="75">
        <v>13.3109</v>
      </c>
      <c r="BI13" s="75">
        <v>13.337999999999999</v>
      </c>
      <c r="BJ13" s="75">
        <v>13.315099999999999</v>
      </c>
      <c r="BK13" s="75">
        <v>13.3218</v>
      </c>
      <c r="BL13" s="75"/>
      <c r="BM13" s="75"/>
      <c r="BN13" s="80"/>
      <c r="BO13" s="81"/>
      <c r="BP13" s="82"/>
      <c r="BQ13" s="82"/>
      <c r="BR13" s="82"/>
      <c r="BS13" s="82"/>
      <c r="BT13" s="82"/>
      <c r="BU13" s="82"/>
      <c r="BV13" s="82"/>
      <c r="BW13" s="82"/>
      <c r="BX13" s="82"/>
      <c r="BY13" s="82"/>
      <c r="BZ13" s="82"/>
      <c r="CA13" s="82"/>
      <c r="CB13" s="82"/>
      <c r="CC13" s="82"/>
      <c r="CD13" s="82"/>
      <c r="CE13" s="82"/>
      <c r="CF13" s="82"/>
      <c r="CG13" s="82"/>
      <c r="CH13" s="82"/>
      <c r="CI13" s="82"/>
      <c r="CJ13" s="82"/>
      <c r="CK13" s="82"/>
      <c r="CL13" s="82"/>
      <c r="CM13" s="82"/>
      <c r="CN13" s="82"/>
      <c r="CO13" s="82"/>
      <c r="CP13" s="82"/>
      <c r="CQ13" s="82"/>
      <c r="CR13" s="82"/>
      <c r="CS13" s="82"/>
      <c r="CT13" s="82"/>
      <c r="CU13" s="82"/>
      <c r="CV13" s="82"/>
      <c r="CW13" s="82"/>
      <c r="CX13" s="82"/>
      <c r="CY13" s="82"/>
      <c r="CZ13" s="82"/>
      <c r="DA13" s="82"/>
      <c r="DB13" s="82"/>
      <c r="DC13" s="82"/>
      <c r="DD13" s="82"/>
      <c r="DE13" s="82"/>
      <c r="DF13" s="82"/>
      <c r="DG13" s="82"/>
      <c r="DH13" s="82"/>
      <c r="DI13" s="82"/>
      <c r="DJ13" s="82"/>
      <c r="DK13" s="82"/>
      <c r="DL13" s="82"/>
      <c r="DM13" s="82"/>
      <c r="DN13" s="82"/>
      <c r="DO13" s="82"/>
      <c r="DP13" s="82"/>
      <c r="DQ13" s="82"/>
      <c r="DR13" s="82"/>
      <c r="DS13" s="82"/>
      <c r="DT13" s="82"/>
      <c r="DU13" s="82"/>
      <c r="DV13" s="82"/>
      <c r="DW13" s="82"/>
      <c r="DX13" s="82"/>
      <c r="DY13" s="82"/>
      <c r="DZ13" s="82"/>
      <c r="EA13" s="82"/>
      <c r="EB13" s="82"/>
      <c r="EC13" s="82"/>
      <c r="ED13" s="82"/>
    </row>
    <row r="14" spans="1:217" ht="15" customHeight="1">
      <c r="A14" s="22"/>
      <c r="B14" s="23" t="s">
        <v>49</v>
      </c>
      <c r="C14" s="24" t="s">
        <v>86</v>
      </c>
      <c r="D14" s="23"/>
      <c r="E14" s="23">
        <v>1.33</v>
      </c>
      <c r="F14" s="25" t="s">
        <v>50</v>
      </c>
      <c r="G14" s="26">
        <v>13.327</v>
      </c>
      <c r="H14" s="27">
        <v>0.03</v>
      </c>
      <c r="I14" s="27">
        <v>-0.03</v>
      </c>
      <c r="J14" s="39" t="s">
        <v>51</v>
      </c>
      <c r="K14" s="40" t="s">
        <v>52</v>
      </c>
      <c r="L14" s="41">
        <f t="shared" si="15"/>
        <v>13.356999999999999</v>
      </c>
      <c r="M14" s="42">
        <f t="shared" si="16"/>
        <v>13.297000000000001</v>
      </c>
      <c r="N14" s="46"/>
      <c r="O14" s="44">
        <f t="shared" si="17"/>
        <v>13.3429</v>
      </c>
      <c r="P14" s="44">
        <f t="shared" si="18"/>
        <v>13.3072</v>
      </c>
      <c r="Q14" s="44">
        <f t="shared" si="19"/>
        <v>13.329141379310345</v>
      </c>
      <c r="R14" s="52">
        <f t="shared" si="20"/>
        <v>8.4906889019418074E-3</v>
      </c>
      <c r="S14" s="53">
        <f t="shared" si="21"/>
        <v>1.1777607347871404</v>
      </c>
      <c r="T14" s="53">
        <f t="shared" si="22"/>
        <v>1.0936929857867905</v>
      </c>
      <c r="U14" s="53">
        <f t="shared" si="23"/>
        <v>1.2618284837874398</v>
      </c>
      <c r="V14" s="53">
        <f t="shared" si="24"/>
        <v>1.0936929857867905</v>
      </c>
      <c r="W14" s="54">
        <f t="shared" si="25"/>
        <v>0.99940624163945491</v>
      </c>
      <c r="X14" s="55">
        <f t="shared" si="26"/>
        <v>3.6019228029092076E-2</v>
      </c>
      <c r="Y14" s="55">
        <f t="shared" si="27"/>
        <v>-3.1736469408402357E-2</v>
      </c>
      <c r="Z14" s="55">
        <f t="shared" si="28"/>
        <v>-2.1413793103448597E-3</v>
      </c>
      <c r="AA14" s="55">
        <f t="shared" si="14"/>
        <v>7.6416200117476268E-2</v>
      </c>
      <c r="AB14" s="61"/>
      <c r="AC14" s="62"/>
      <c r="AD14" s="89"/>
      <c r="AE14" s="64"/>
      <c r="AF14" s="64"/>
      <c r="AG14" s="73"/>
      <c r="AH14" s="76"/>
      <c r="AI14" s="75">
        <v>13.325699999999999</v>
      </c>
      <c r="AJ14" s="75">
        <v>13.323499999999999</v>
      </c>
      <c r="AK14" s="75">
        <v>13.3352</v>
      </c>
      <c r="AL14" s="75">
        <v>13.332700000000001</v>
      </c>
      <c r="AM14" s="75">
        <v>13.315099999999999</v>
      </c>
      <c r="AN14" s="75">
        <v>13.324</v>
      </c>
      <c r="AO14" s="75">
        <v>13.3253</v>
      </c>
      <c r="AP14" s="75">
        <v>13.336399999999999</v>
      </c>
      <c r="AQ14" s="75">
        <v>13.3378</v>
      </c>
      <c r="AR14" s="75">
        <v>13.3238</v>
      </c>
      <c r="AS14" s="75">
        <v>13.327500000000001</v>
      </c>
      <c r="AT14" s="75">
        <v>13.3377</v>
      </c>
      <c r="AU14" s="75">
        <v>13.3316</v>
      </c>
      <c r="AV14" s="75">
        <v>13.324</v>
      </c>
      <c r="AW14" s="75">
        <v>13.327500000000001</v>
      </c>
      <c r="AX14" s="75">
        <v>13.3231</v>
      </c>
      <c r="AY14" s="75">
        <v>13.3344</v>
      </c>
      <c r="AZ14" s="75">
        <v>13.3286</v>
      </c>
      <c r="BA14" s="75">
        <v>13.3429</v>
      </c>
      <c r="BB14" s="75">
        <v>13.3148</v>
      </c>
      <c r="BC14" s="75">
        <v>13.3408</v>
      </c>
      <c r="BD14" s="75">
        <v>13.338200000000001</v>
      </c>
      <c r="BE14" s="75">
        <v>13.3331</v>
      </c>
      <c r="BF14" s="75">
        <v>13.3331</v>
      </c>
      <c r="BG14" s="75">
        <v>13.3072</v>
      </c>
      <c r="BH14" s="75">
        <v>13.3309</v>
      </c>
      <c r="BI14" s="75">
        <v>13.3421</v>
      </c>
      <c r="BJ14" s="75">
        <v>13.325900000000001</v>
      </c>
      <c r="BK14" s="75">
        <v>13.3222</v>
      </c>
      <c r="BL14" s="75"/>
      <c r="BM14" s="75"/>
      <c r="BN14" s="80"/>
      <c r="BO14" s="81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  <c r="CW14" s="82"/>
      <c r="CX14" s="82"/>
      <c r="CY14" s="82"/>
      <c r="CZ14" s="82"/>
      <c r="DA14" s="82"/>
      <c r="DB14" s="82"/>
      <c r="DC14" s="82"/>
      <c r="DD14" s="82"/>
      <c r="DE14" s="82"/>
      <c r="DF14" s="82"/>
      <c r="DG14" s="82"/>
      <c r="DH14" s="82"/>
      <c r="DI14" s="82"/>
      <c r="DJ14" s="82"/>
      <c r="DK14" s="82"/>
      <c r="DL14" s="82"/>
      <c r="DM14" s="82"/>
      <c r="DN14" s="82"/>
      <c r="DO14" s="82"/>
      <c r="DP14" s="82"/>
      <c r="DQ14" s="82"/>
      <c r="DR14" s="82"/>
      <c r="DS14" s="82"/>
      <c r="DT14" s="82"/>
      <c r="DU14" s="82"/>
      <c r="DV14" s="82"/>
      <c r="DW14" s="82"/>
      <c r="DX14" s="82"/>
      <c r="DY14" s="82"/>
      <c r="DZ14" s="82"/>
      <c r="EA14" s="82"/>
      <c r="EB14" s="82"/>
      <c r="EC14" s="82"/>
      <c r="ED14" s="82"/>
    </row>
    <row r="15" spans="1:217" ht="15" customHeight="1">
      <c r="A15" s="22"/>
      <c r="B15" s="23" t="s">
        <v>49</v>
      </c>
      <c r="C15" s="24" t="s">
        <v>87</v>
      </c>
      <c r="D15" s="23"/>
      <c r="E15" s="23">
        <v>1.33</v>
      </c>
      <c r="F15" s="25" t="s">
        <v>50</v>
      </c>
      <c r="G15" s="26">
        <v>20.228000000000002</v>
      </c>
      <c r="H15" s="27">
        <v>0.05</v>
      </c>
      <c r="I15" s="27">
        <v>0.01</v>
      </c>
      <c r="J15" s="39" t="s">
        <v>51</v>
      </c>
      <c r="K15" s="40" t="s">
        <v>52</v>
      </c>
      <c r="L15" s="41">
        <f t="shared" si="15"/>
        <v>20.278000000000002</v>
      </c>
      <c r="M15" s="42">
        <f t="shared" si="16"/>
        <v>20.238000000000003</v>
      </c>
      <c r="N15" s="46"/>
      <c r="O15" s="44">
        <f t="shared" si="17"/>
        <v>20.2758</v>
      </c>
      <c r="P15" s="44">
        <f t="shared" si="18"/>
        <v>20.261900000000001</v>
      </c>
      <c r="Q15" s="44">
        <f t="shared" si="19"/>
        <v>20.273148275862077</v>
      </c>
      <c r="R15" s="52">
        <f t="shared" si="20"/>
        <v>2.7166971398654653E-3</v>
      </c>
      <c r="S15" s="53">
        <f t="shared" si="21"/>
        <v>3.680940305512014</v>
      </c>
      <c r="T15" s="53">
        <f t="shared" si="22"/>
        <v>0.59529689768380312</v>
      </c>
      <c r="U15" s="53">
        <f t="shared" si="23"/>
        <v>4.3126235096654444</v>
      </c>
      <c r="V15" s="53">
        <f t="shared" si="24"/>
        <v>0.59529689768380312</v>
      </c>
      <c r="W15" s="54">
        <f t="shared" si="25"/>
        <v>0.96294152090008067</v>
      </c>
      <c r="X15" s="55">
        <f t="shared" si="26"/>
        <v>5.5987897450137325E-2</v>
      </c>
      <c r="Y15" s="55" t="str">
        <f t="shared" si="27"/>
        <v/>
      </c>
      <c r="Z15" s="55">
        <f t="shared" si="28"/>
        <v>-1.5148275862074456E-2</v>
      </c>
      <c r="AA15" s="55" t="str">
        <f t="shared" si="14"/>
        <v/>
      </c>
      <c r="AB15" s="61"/>
      <c r="AC15" s="62"/>
      <c r="AD15" s="63"/>
      <c r="AE15" s="64"/>
      <c r="AF15" s="64"/>
      <c r="AG15" s="73"/>
      <c r="AH15" s="76"/>
      <c r="AI15" s="75">
        <v>20.2758</v>
      </c>
      <c r="AJ15" s="75">
        <v>20.273399999999999</v>
      </c>
      <c r="AK15" s="75">
        <v>20.274100000000001</v>
      </c>
      <c r="AL15" s="75">
        <v>20.273299999999999</v>
      </c>
      <c r="AM15" s="75">
        <v>20.2758</v>
      </c>
      <c r="AN15" s="75">
        <v>20.274000000000001</v>
      </c>
      <c r="AO15" s="75">
        <v>20.2746</v>
      </c>
      <c r="AP15" s="75">
        <v>20.273800000000001</v>
      </c>
      <c r="AQ15" s="75">
        <v>20.274100000000001</v>
      </c>
      <c r="AR15" s="75">
        <v>20.2758</v>
      </c>
      <c r="AS15" s="75">
        <v>20.274999999999999</v>
      </c>
      <c r="AT15" s="75">
        <v>20.274899999999999</v>
      </c>
      <c r="AU15" s="75">
        <v>20.274100000000001</v>
      </c>
      <c r="AV15" s="75">
        <v>20.275700000000001</v>
      </c>
      <c r="AW15" s="75">
        <v>20.2743</v>
      </c>
      <c r="AX15" s="75">
        <v>20.273800000000001</v>
      </c>
      <c r="AY15" s="75">
        <v>20.273900000000001</v>
      </c>
      <c r="AZ15" s="75">
        <v>20.272600000000001</v>
      </c>
      <c r="BA15" s="75">
        <v>20.2727</v>
      </c>
      <c r="BB15" s="75">
        <v>20.271999999999998</v>
      </c>
      <c r="BC15" s="75">
        <v>20.272099999999998</v>
      </c>
      <c r="BD15" s="75">
        <v>20.271899999999999</v>
      </c>
      <c r="BE15" s="75">
        <v>20.271699999999999</v>
      </c>
      <c r="BF15" s="75">
        <v>20.261900000000001</v>
      </c>
      <c r="BG15" s="75">
        <v>20.273499999999999</v>
      </c>
      <c r="BH15" s="75">
        <v>20.267700000000001</v>
      </c>
      <c r="BI15" s="75">
        <v>20.272500000000001</v>
      </c>
      <c r="BJ15" s="75">
        <v>20.272500000000001</v>
      </c>
      <c r="BK15" s="75">
        <v>20.273800000000001</v>
      </c>
      <c r="BL15" s="75"/>
      <c r="BM15" s="75"/>
      <c r="BN15" s="80"/>
      <c r="BO15" s="81"/>
      <c r="BP15" s="82"/>
      <c r="BQ15" s="82"/>
      <c r="BR15" s="82"/>
      <c r="BS15" s="82"/>
      <c r="BT15" s="82"/>
      <c r="BU15" s="82"/>
      <c r="BV15" s="82"/>
      <c r="BW15" s="82"/>
      <c r="BX15" s="82"/>
      <c r="BY15" s="82"/>
      <c r="BZ15" s="82"/>
      <c r="CA15" s="82"/>
      <c r="CB15" s="82"/>
      <c r="CC15" s="82"/>
      <c r="CD15" s="82"/>
      <c r="CE15" s="82"/>
      <c r="CF15" s="82"/>
      <c r="CG15" s="82"/>
      <c r="CH15" s="82"/>
      <c r="CI15" s="82"/>
      <c r="CJ15" s="82"/>
      <c r="CK15" s="82"/>
      <c r="CL15" s="82"/>
      <c r="CM15" s="82"/>
      <c r="CN15" s="82"/>
      <c r="CO15" s="82"/>
      <c r="CP15" s="82"/>
      <c r="CQ15" s="82"/>
      <c r="CR15" s="82"/>
      <c r="CS15" s="82"/>
      <c r="CT15" s="82"/>
      <c r="CU15" s="82"/>
      <c r="CV15" s="82"/>
      <c r="CW15" s="82"/>
      <c r="CX15" s="82"/>
      <c r="CY15" s="82"/>
      <c r="CZ15" s="82"/>
      <c r="DA15" s="82"/>
      <c r="DB15" s="82"/>
      <c r="DC15" s="82"/>
      <c r="DD15" s="82"/>
      <c r="DE15" s="82"/>
      <c r="DF15" s="82"/>
      <c r="DG15" s="82"/>
      <c r="DH15" s="82"/>
      <c r="DI15" s="82"/>
      <c r="DJ15" s="82"/>
      <c r="DK15" s="82"/>
      <c r="DL15" s="82"/>
      <c r="DM15" s="82"/>
      <c r="DN15" s="82"/>
      <c r="DO15" s="82"/>
      <c r="DP15" s="82"/>
      <c r="DQ15" s="82"/>
      <c r="DR15" s="82"/>
      <c r="DS15" s="82"/>
      <c r="DT15" s="82"/>
      <c r="DU15" s="82"/>
      <c r="DV15" s="82"/>
      <c r="DW15" s="82"/>
      <c r="DX15" s="82"/>
      <c r="DY15" s="82"/>
      <c r="DZ15" s="82"/>
      <c r="EA15" s="82"/>
      <c r="EB15" s="82"/>
      <c r="EC15" s="82"/>
      <c r="ED15" s="82"/>
    </row>
    <row r="16" spans="1:217" ht="15" customHeight="1">
      <c r="A16" s="22"/>
      <c r="B16" s="23" t="s">
        <v>49</v>
      </c>
      <c r="C16" s="24" t="s">
        <v>88</v>
      </c>
      <c r="D16" s="23"/>
      <c r="E16" s="23">
        <v>1.33</v>
      </c>
      <c r="F16" s="25" t="s">
        <v>53</v>
      </c>
      <c r="G16" s="26"/>
      <c r="H16" s="27">
        <v>0.03</v>
      </c>
      <c r="I16" s="27"/>
      <c r="J16" s="39" t="s">
        <v>51</v>
      </c>
      <c r="K16" s="40" t="s">
        <v>52</v>
      </c>
      <c r="L16" s="41">
        <f t="shared" si="15"/>
        <v>0.03</v>
      </c>
      <c r="M16" s="42" t="str">
        <f t="shared" si="16"/>
        <v/>
      </c>
      <c r="N16" s="45"/>
      <c r="O16" s="44">
        <f t="shared" si="17"/>
        <v>3.85E-2</v>
      </c>
      <c r="P16" s="44">
        <f t="shared" si="18"/>
        <v>1.01E-2</v>
      </c>
      <c r="Q16" s="44">
        <f t="shared" si="19"/>
        <v>1.942413793103448E-2</v>
      </c>
      <c r="R16" s="52">
        <f t="shared" si="20"/>
        <v>6.4726708536967719E-3</v>
      </c>
      <c r="S16" s="53">
        <f t="shared" si="21"/>
        <v>0.54464183889536466</v>
      </c>
      <c r="T16" s="53">
        <f t="shared" si="22"/>
        <v>0.54464183889536466</v>
      </c>
      <c r="U16" s="53" t="str">
        <f t="shared" si="23"/>
        <v/>
      </c>
      <c r="V16" s="53">
        <f t="shared" si="24"/>
        <v>0.54464183889536466</v>
      </c>
      <c r="W16" s="54">
        <f t="shared" si="25"/>
        <v>0.9488627544289413</v>
      </c>
      <c r="X16" s="55">
        <f t="shared" si="26"/>
        <v>4.5250094637284605E-2</v>
      </c>
      <c r="Y16" s="55" t="str">
        <f t="shared" si="27"/>
        <v/>
      </c>
      <c r="Z16" s="55" t="str">
        <f t="shared" si="28"/>
        <v/>
      </c>
      <c r="AA16" s="55">
        <f t="shared" si="14"/>
        <v>5.8254037683270948E-2</v>
      </c>
      <c r="AB16" s="61"/>
      <c r="AC16" s="62"/>
      <c r="AD16" s="63"/>
      <c r="AE16" s="64"/>
      <c r="AF16" s="64"/>
      <c r="AG16" s="73"/>
      <c r="AH16" s="74"/>
      <c r="AI16" s="75">
        <v>1.83E-2</v>
      </c>
      <c r="AJ16" s="75">
        <v>3.85E-2</v>
      </c>
      <c r="AK16" s="75">
        <v>1.67E-2</v>
      </c>
      <c r="AL16" s="75">
        <v>1.95E-2</v>
      </c>
      <c r="AM16" s="75">
        <v>1.6799999999999999E-2</v>
      </c>
      <c r="AN16" s="75">
        <v>1.5900000000000001E-2</v>
      </c>
      <c r="AO16" s="75">
        <v>1.89E-2</v>
      </c>
      <c r="AP16" s="75">
        <v>1.95E-2</v>
      </c>
      <c r="AQ16" s="75">
        <v>1.8100000000000002E-2</v>
      </c>
      <c r="AR16" s="75">
        <v>2.1999999999999999E-2</v>
      </c>
      <c r="AS16" s="75">
        <v>2.4799999999999999E-2</v>
      </c>
      <c r="AT16" s="75">
        <v>1.6899999999999998E-2</v>
      </c>
      <c r="AU16" s="75">
        <v>1.67E-2</v>
      </c>
      <c r="AV16" s="75">
        <v>3.3000000000000002E-2</v>
      </c>
      <c r="AW16" s="75">
        <v>1.01E-2</v>
      </c>
      <c r="AX16" s="75">
        <v>1.9400000000000001E-2</v>
      </c>
      <c r="AY16" s="75">
        <v>2.18E-2</v>
      </c>
      <c r="AZ16" s="75">
        <v>2.3099999999999999E-2</v>
      </c>
      <c r="BA16" s="75">
        <v>2.1499999999999998E-2</v>
      </c>
      <c r="BB16" s="75">
        <v>3.0099999999999998E-2</v>
      </c>
      <c r="BC16" s="75">
        <v>2.6800000000000001E-2</v>
      </c>
      <c r="BD16" s="75">
        <v>1.54E-2</v>
      </c>
      <c r="BE16" s="75">
        <v>1.34E-2</v>
      </c>
      <c r="BF16" s="75">
        <v>1.5800000000000002E-2</v>
      </c>
      <c r="BG16" s="75">
        <v>1.0999999999999999E-2</v>
      </c>
      <c r="BH16" s="75">
        <v>1.3299999999999999E-2</v>
      </c>
      <c r="BI16" s="75">
        <v>1.4500000000000001E-2</v>
      </c>
      <c r="BJ16" s="75">
        <v>2.0299999999999999E-2</v>
      </c>
      <c r="BK16" s="75">
        <v>1.12E-2</v>
      </c>
      <c r="BL16" s="75"/>
      <c r="BM16" s="75"/>
      <c r="BN16" s="80"/>
      <c r="BO16" s="81"/>
      <c r="BP16" s="82"/>
      <c r="BQ16" s="82"/>
      <c r="BR16" s="82"/>
      <c r="BS16" s="82"/>
      <c r="BT16" s="82"/>
      <c r="BU16" s="82"/>
      <c r="BV16" s="82"/>
      <c r="BW16" s="82"/>
      <c r="BX16" s="82"/>
      <c r="BY16" s="82"/>
      <c r="BZ16" s="82"/>
      <c r="CA16" s="82"/>
      <c r="CB16" s="82"/>
      <c r="CC16" s="82"/>
      <c r="CD16" s="82"/>
      <c r="CE16" s="82"/>
      <c r="CF16" s="82"/>
      <c r="CG16" s="82"/>
      <c r="CH16" s="82"/>
      <c r="CI16" s="82"/>
      <c r="CJ16" s="82"/>
      <c r="CK16" s="82"/>
      <c r="CL16" s="82"/>
      <c r="CM16" s="82"/>
      <c r="CN16" s="82"/>
      <c r="CO16" s="82"/>
      <c r="CP16" s="82"/>
      <c r="CQ16" s="82"/>
      <c r="CR16" s="82"/>
      <c r="CS16" s="82"/>
      <c r="CT16" s="82"/>
      <c r="CU16" s="82"/>
      <c r="CV16" s="82"/>
      <c r="CW16" s="82"/>
      <c r="CX16" s="82"/>
      <c r="CY16" s="82"/>
      <c r="CZ16" s="82"/>
      <c r="DA16" s="82"/>
      <c r="DB16" s="82"/>
      <c r="DC16" s="82"/>
      <c r="DD16" s="82"/>
      <c r="DE16" s="82"/>
      <c r="DF16" s="82"/>
      <c r="DG16" s="82"/>
      <c r="DH16" s="82"/>
      <c r="DI16" s="82"/>
      <c r="DJ16" s="82"/>
      <c r="DK16" s="82"/>
      <c r="DL16" s="82"/>
      <c r="DM16" s="82"/>
      <c r="DN16" s="82"/>
      <c r="DO16" s="82"/>
      <c r="DP16" s="82"/>
      <c r="DQ16" s="82"/>
      <c r="DR16" s="82"/>
      <c r="DS16" s="82"/>
      <c r="DT16" s="82"/>
      <c r="DU16" s="82"/>
      <c r="DV16" s="82"/>
      <c r="DW16" s="82"/>
      <c r="DX16" s="82"/>
      <c r="DY16" s="82"/>
      <c r="DZ16" s="82"/>
      <c r="EA16" s="82"/>
      <c r="EB16" s="82"/>
      <c r="EC16" s="82"/>
      <c r="ED16" s="82"/>
    </row>
    <row r="17" spans="1:134" ht="15" customHeight="1">
      <c r="A17" s="22"/>
      <c r="B17" s="23" t="s">
        <v>49</v>
      </c>
      <c r="C17" s="24" t="s">
        <v>89</v>
      </c>
      <c r="D17" s="23"/>
      <c r="E17" s="23">
        <v>1.33</v>
      </c>
      <c r="F17" s="25" t="s">
        <v>53</v>
      </c>
      <c r="G17" s="26"/>
      <c r="H17" s="27">
        <v>0.05</v>
      </c>
      <c r="I17" s="27"/>
      <c r="J17" s="39" t="s">
        <v>51</v>
      </c>
      <c r="K17" s="40" t="s">
        <v>52</v>
      </c>
      <c r="L17" s="41">
        <f t="shared" si="15"/>
        <v>0.05</v>
      </c>
      <c r="M17" s="42" t="str">
        <f t="shared" si="16"/>
        <v/>
      </c>
      <c r="N17" s="45"/>
      <c r="O17" s="44">
        <f t="shared" si="17"/>
        <v>0.13650000000000001</v>
      </c>
      <c r="P17" s="44">
        <f t="shared" si="18"/>
        <v>3.2300000000000002E-2</v>
      </c>
      <c r="Q17" s="44">
        <f t="shared" si="19"/>
        <v>4.5937931034482765E-2</v>
      </c>
      <c r="R17" s="52">
        <f t="shared" si="20"/>
        <v>1.8313547167389945E-2</v>
      </c>
      <c r="S17" s="53">
        <f t="shared" si="21"/>
        <v>7.3935594023903234E-2</v>
      </c>
      <c r="T17" s="53">
        <f t="shared" si="22"/>
        <v>7.3935594023903234E-2</v>
      </c>
      <c r="U17" s="53" t="str">
        <f t="shared" si="23"/>
        <v/>
      </c>
      <c r="V17" s="53">
        <f t="shared" si="24"/>
        <v>7.3935594023903234E-2</v>
      </c>
      <c r="W17" s="54">
        <f t="shared" si="25"/>
        <v>0.58776785018288491</v>
      </c>
      <c r="X17" s="55">
        <f t="shared" si="26"/>
        <v>0.11900898423236865</v>
      </c>
      <c r="Y17" s="55" t="str">
        <f t="shared" si="27"/>
        <v/>
      </c>
      <c r="Z17" s="55" t="str">
        <f t="shared" si="28"/>
        <v/>
      </c>
      <c r="AA17" s="55">
        <f t="shared" si="14"/>
        <v>0.16482192450650951</v>
      </c>
      <c r="AB17" s="61"/>
      <c r="AC17" s="62"/>
      <c r="AD17" s="63"/>
      <c r="AE17" s="64"/>
      <c r="AF17" s="64"/>
      <c r="AG17" s="73"/>
      <c r="AH17" s="74"/>
      <c r="AI17" s="75">
        <v>3.9E-2</v>
      </c>
      <c r="AJ17" s="75">
        <v>4.0300000000000002E-2</v>
      </c>
      <c r="AK17" s="75">
        <v>3.73E-2</v>
      </c>
      <c r="AL17" s="75">
        <v>3.6999999999999998E-2</v>
      </c>
      <c r="AM17" s="75">
        <v>3.8199999999999998E-2</v>
      </c>
      <c r="AN17" s="75">
        <v>5.6300000000000003E-2</v>
      </c>
      <c r="AO17" s="75">
        <v>4.3900000000000002E-2</v>
      </c>
      <c r="AP17" s="75">
        <v>3.4000000000000002E-2</v>
      </c>
      <c r="AQ17" s="75">
        <v>0.04</v>
      </c>
      <c r="AR17" s="75">
        <v>3.2300000000000002E-2</v>
      </c>
      <c r="AS17" s="75">
        <v>4.3299999999999998E-2</v>
      </c>
      <c r="AT17" s="75">
        <v>4.8399999999999999E-2</v>
      </c>
      <c r="AU17" s="75">
        <v>4.0099999999999997E-2</v>
      </c>
      <c r="AV17" s="75">
        <v>4.4400000000000002E-2</v>
      </c>
      <c r="AW17" s="75">
        <v>0.13650000000000001</v>
      </c>
      <c r="AX17" s="75">
        <v>4.41E-2</v>
      </c>
      <c r="AY17" s="75">
        <v>4.7E-2</v>
      </c>
      <c r="AZ17" s="75">
        <v>5.1499999999999997E-2</v>
      </c>
      <c r="BA17" s="75">
        <v>4.8300000000000003E-2</v>
      </c>
      <c r="BB17" s="75">
        <v>4.6600000000000003E-2</v>
      </c>
      <c r="BC17" s="75">
        <v>3.4799999999999998E-2</v>
      </c>
      <c r="BD17" s="75">
        <v>4.9700000000000001E-2</v>
      </c>
      <c r="BE17" s="75">
        <v>4.2299999999999997E-2</v>
      </c>
      <c r="BF17" s="75">
        <v>4.02E-2</v>
      </c>
      <c r="BG17" s="75">
        <v>4.5999999999999999E-2</v>
      </c>
      <c r="BH17" s="75">
        <v>3.61E-2</v>
      </c>
      <c r="BI17" s="75">
        <v>5.0099999999999999E-2</v>
      </c>
      <c r="BJ17" s="75">
        <v>4.3499999999999997E-2</v>
      </c>
      <c r="BK17" s="75">
        <v>4.1000000000000002E-2</v>
      </c>
      <c r="BL17" s="75"/>
      <c r="BM17" s="75"/>
      <c r="BN17" s="80"/>
      <c r="BO17" s="81"/>
      <c r="BP17" s="82"/>
      <c r="BQ17" s="82"/>
      <c r="BR17" s="82"/>
      <c r="BS17" s="82"/>
      <c r="BT17" s="82"/>
      <c r="BU17" s="82"/>
      <c r="BV17" s="82"/>
      <c r="BW17" s="82"/>
      <c r="BX17" s="82"/>
      <c r="BY17" s="82"/>
      <c r="BZ17" s="82"/>
      <c r="CA17" s="82"/>
      <c r="CB17" s="82"/>
      <c r="CC17" s="82"/>
      <c r="CD17" s="82"/>
      <c r="CE17" s="82"/>
      <c r="CF17" s="82"/>
      <c r="CG17" s="82"/>
      <c r="CH17" s="82"/>
      <c r="CI17" s="82"/>
      <c r="CJ17" s="82"/>
      <c r="CK17" s="82"/>
      <c r="CL17" s="82"/>
      <c r="CM17" s="82"/>
      <c r="CN17" s="82"/>
      <c r="CO17" s="82"/>
      <c r="CP17" s="82"/>
      <c r="CQ17" s="82"/>
      <c r="CR17" s="82"/>
      <c r="CS17" s="82"/>
      <c r="CT17" s="82"/>
      <c r="CU17" s="82"/>
      <c r="CV17" s="82"/>
      <c r="CW17" s="82"/>
      <c r="CX17" s="82"/>
      <c r="CY17" s="82"/>
      <c r="CZ17" s="82"/>
      <c r="DA17" s="82"/>
      <c r="DB17" s="82"/>
      <c r="DC17" s="82"/>
      <c r="DD17" s="82"/>
      <c r="DE17" s="82"/>
      <c r="DF17" s="82"/>
      <c r="DG17" s="82"/>
      <c r="DH17" s="82"/>
      <c r="DI17" s="82"/>
      <c r="DJ17" s="82"/>
      <c r="DK17" s="82"/>
      <c r="DL17" s="82"/>
      <c r="DM17" s="82"/>
      <c r="DN17" s="82"/>
      <c r="DO17" s="82"/>
      <c r="DP17" s="82"/>
      <c r="DQ17" s="82"/>
      <c r="DR17" s="82"/>
      <c r="DS17" s="82"/>
      <c r="DT17" s="82"/>
      <c r="DU17" s="82"/>
      <c r="DV17" s="82"/>
      <c r="DW17" s="82"/>
      <c r="DX17" s="82"/>
      <c r="DY17" s="82"/>
      <c r="DZ17" s="82"/>
      <c r="EA17" s="82"/>
      <c r="EB17" s="82"/>
      <c r="EC17" s="82"/>
      <c r="ED17" s="82"/>
    </row>
    <row r="18" spans="1:134" ht="15" customHeight="1">
      <c r="A18" s="22"/>
      <c r="B18" s="23"/>
      <c r="C18" s="24" t="s">
        <v>90</v>
      </c>
      <c r="D18" s="23" t="s">
        <v>54</v>
      </c>
      <c r="E18" s="23"/>
      <c r="F18" s="25" t="s">
        <v>50</v>
      </c>
      <c r="G18" s="26">
        <v>0</v>
      </c>
      <c r="H18" s="27">
        <v>0.15</v>
      </c>
      <c r="I18" s="27">
        <v>-0.15</v>
      </c>
      <c r="J18" s="39" t="s">
        <v>51</v>
      </c>
      <c r="K18" s="40" t="s">
        <v>52</v>
      </c>
      <c r="L18" s="41">
        <f t="shared" si="15"/>
        <v>0.15</v>
      </c>
      <c r="M18" s="42">
        <f t="shared" si="16"/>
        <v>-0.15</v>
      </c>
      <c r="N18" s="45"/>
      <c r="O18" s="44">
        <f t="shared" si="17"/>
        <v>-1.61E-2</v>
      </c>
      <c r="P18" s="44">
        <f t="shared" si="18"/>
        <v>-2.9899999999999999E-2</v>
      </c>
      <c r="Q18" s="44">
        <f t="shared" si="19"/>
        <v>-2.2451724137931034E-2</v>
      </c>
      <c r="R18" s="52">
        <f t="shared" si="20"/>
        <v>3.4004853319211411E-3</v>
      </c>
      <c r="S18" s="53">
        <f t="shared" si="21"/>
        <v>14.703783466035995</v>
      </c>
      <c r="T18" s="53">
        <f t="shared" si="22"/>
        <v>16.904618733791406</v>
      </c>
      <c r="U18" s="53">
        <f t="shared" si="23"/>
        <v>12.502948198280585</v>
      </c>
      <c r="V18" s="53">
        <f t="shared" si="24"/>
        <v>12.502948198280585</v>
      </c>
      <c r="W18" s="54">
        <f t="shared" si="25"/>
        <v>1</v>
      </c>
      <c r="X18" s="55" t="str">
        <f t="shared" si="26"/>
        <v/>
      </c>
      <c r="Y18" s="55" t="str">
        <f t="shared" si="27"/>
        <v/>
      </c>
      <c r="Z18" s="55">
        <f t="shared" si="28"/>
        <v>2.2451724137931034E-2</v>
      </c>
      <c r="AA18" s="55" t="str">
        <f t="shared" si="14"/>
        <v/>
      </c>
      <c r="AB18" s="61"/>
      <c r="AC18" s="62"/>
      <c r="AD18" s="63"/>
      <c r="AE18" s="64"/>
      <c r="AF18" s="64"/>
      <c r="AG18" s="73"/>
      <c r="AH18" s="74"/>
      <c r="AI18" s="75">
        <v>-1.89E-2</v>
      </c>
      <c r="AJ18" s="75">
        <v>-2.1100000000000001E-2</v>
      </c>
      <c r="AK18" s="75">
        <v>-1.9199999999999998E-2</v>
      </c>
      <c r="AL18" s="75">
        <v>-0.02</v>
      </c>
      <c r="AM18" s="75">
        <v>-1.9099999999999999E-2</v>
      </c>
      <c r="AN18" s="75">
        <v>-2.92E-2</v>
      </c>
      <c r="AO18" s="75">
        <v>-2.3099999999999999E-2</v>
      </c>
      <c r="AP18" s="75">
        <v>-1.61E-2</v>
      </c>
      <c r="AQ18" s="75">
        <v>-2.1100000000000001E-2</v>
      </c>
      <c r="AR18" s="75">
        <v>-1.7600000000000001E-2</v>
      </c>
      <c r="AS18" s="75">
        <v>-2.2499999999999999E-2</v>
      </c>
      <c r="AT18" s="75">
        <v>-2.58E-2</v>
      </c>
      <c r="AU18" s="75">
        <v>-2.12E-2</v>
      </c>
      <c r="AV18" s="75">
        <v>-2.2700000000000001E-2</v>
      </c>
      <c r="AW18" s="75">
        <v>-2.9899999999999999E-2</v>
      </c>
      <c r="AX18" s="75">
        <v>-2.2700000000000001E-2</v>
      </c>
      <c r="AY18" s="75">
        <v>-2.5100000000000001E-2</v>
      </c>
      <c r="AZ18" s="75">
        <v>-2.69E-2</v>
      </c>
      <c r="BA18" s="75">
        <v>-2.5899999999999999E-2</v>
      </c>
      <c r="BB18" s="75">
        <v>-2.3800000000000002E-2</v>
      </c>
      <c r="BC18" s="75">
        <v>-1.7999999999999999E-2</v>
      </c>
      <c r="BD18" s="75">
        <v>-2.5499999999999998E-2</v>
      </c>
      <c r="BE18" s="75">
        <v>-2.23E-2</v>
      </c>
      <c r="BF18" s="75">
        <v>-2.12E-2</v>
      </c>
      <c r="BG18" s="75">
        <v>-2.35E-2</v>
      </c>
      <c r="BH18" s="75">
        <v>-1.84E-2</v>
      </c>
      <c r="BI18" s="75">
        <v>-2.58E-2</v>
      </c>
      <c r="BJ18" s="75">
        <v>-2.3099999999999999E-2</v>
      </c>
      <c r="BK18" s="75">
        <v>-2.1399999999999999E-2</v>
      </c>
      <c r="BL18" s="75"/>
      <c r="BM18" s="75"/>
      <c r="BN18" s="80"/>
      <c r="BO18" s="81"/>
      <c r="BP18" s="82"/>
      <c r="BQ18" s="82"/>
      <c r="BR18" s="82"/>
      <c r="BS18" s="82"/>
      <c r="BT18" s="82"/>
      <c r="BU18" s="82"/>
      <c r="BV18" s="82"/>
      <c r="BW18" s="82"/>
      <c r="BX18" s="82"/>
      <c r="BY18" s="82"/>
      <c r="BZ18" s="82"/>
      <c r="CA18" s="82"/>
      <c r="CB18" s="82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82"/>
      <c r="CP18" s="82"/>
      <c r="CQ18" s="82"/>
      <c r="CR18" s="82"/>
      <c r="CS18" s="82"/>
      <c r="CT18" s="82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2"/>
      <c r="DG18" s="82"/>
      <c r="DH18" s="82"/>
      <c r="DI18" s="82"/>
      <c r="DJ18" s="82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2"/>
      <c r="DZ18" s="82"/>
      <c r="EA18" s="82"/>
      <c r="EB18" s="82"/>
      <c r="EC18" s="82"/>
      <c r="ED18" s="82"/>
    </row>
    <row r="19" spans="1:134" ht="15" customHeight="1">
      <c r="A19" s="22"/>
      <c r="B19" s="23"/>
      <c r="C19" s="24" t="s">
        <v>91</v>
      </c>
      <c r="D19" s="23" t="s">
        <v>54</v>
      </c>
      <c r="E19" s="23"/>
      <c r="F19" s="25" t="s">
        <v>50</v>
      </c>
      <c r="G19" s="26">
        <v>0</v>
      </c>
      <c r="H19" s="27">
        <v>0.15</v>
      </c>
      <c r="I19" s="27">
        <v>-0.15</v>
      </c>
      <c r="J19" s="39" t="s">
        <v>51</v>
      </c>
      <c r="K19" s="40" t="s">
        <v>52</v>
      </c>
      <c r="L19" s="41">
        <f t="shared" si="15"/>
        <v>0.15</v>
      </c>
      <c r="M19" s="42">
        <f t="shared" si="16"/>
        <v>-0.15</v>
      </c>
      <c r="N19" s="45"/>
      <c r="O19" s="44">
        <f t="shared" si="17"/>
        <v>2.8999999999999998E-3</v>
      </c>
      <c r="P19" s="44">
        <f t="shared" si="18"/>
        <v>-3.5000000000000001E-3</v>
      </c>
      <c r="Q19" s="44">
        <f t="shared" si="19"/>
        <v>-2.8965517241379309E-4</v>
      </c>
      <c r="R19" s="52">
        <f t="shared" si="20"/>
        <v>1.5628145003683503E-3</v>
      </c>
      <c r="S19" s="53">
        <f t="shared" si="21"/>
        <v>31.993560328634754</v>
      </c>
      <c r="T19" s="53">
        <f t="shared" si="22"/>
        <v>32.05534099685557</v>
      </c>
      <c r="U19" s="53">
        <f t="shared" si="23"/>
        <v>31.931779660413937</v>
      </c>
      <c r="V19" s="53">
        <f t="shared" si="24"/>
        <v>31.931779660413937</v>
      </c>
      <c r="W19" s="54">
        <f t="shared" si="25"/>
        <v>1</v>
      </c>
      <c r="X19" s="55" t="str">
        <f t="shared" si="26"/>
        <v/>
      </c>
      <c r="Y19" s="55" t="str">
        <f t="shared" si="27"/>
        <v/>
      </c>
      <c r="Z19" s="55">
        <f t="shared" si="28"/>
        <v>2.8965517241379309E-4</v>
      </c>
      <c r="AA19" s="55" t="str">
        <f t="shared" si="14"/>
        <v/>
      </c>
      <c r="AB19" s="61"/>
      <c r="AC19" s="62"/>
      <c r="AD19" s="63"/>
      <c r="AE19" s="64"/>
      <c r="AF19" s="64"/>
      <c r="AG19" s="73"/>
      <c r="AH19" s="74"/>
      <c r="AI19" s="75">
        <v>5.9999999999999995E-4</v>
      </c>
      <c r="AJ19" s="75">
        <v>-1.4E-3</v>
      </c>
      <c r="AK19" s="75">
        <v>5.0000000000000001E-4</v>
      </c>
      <c r="AL19" s="75">
        <v>8.0000000000000004E-4</v>
      </c>
      <c r="AM19" s="75">
        <v>8.0000000000000004E-4</v>
      </c>
      <c r="AN19" s="75">
        <v>2E-3</v>
      </c>
      <c r="AO19" s="75">
        <v>-1.1000000000000001E-3</v>
      </c>
      <c r="AP19" s="75">
        <v>2.3999999999999998E-3</v>
      </c>
      <c r="AQ19" s="75">
        <v>-1.1000000000000001E-3</v>
      </c>
      <c r="AR19" s="75">
        <v>-5.0000000000000001E-4</v>
      </c>
      <c r="AS19" s="75">
        <v>1.5E-3</v>
      </c>
      <c r="AT19" s="75">
        <v>-3.5000000000000001E-3</v>
      </c>
      <c r="AU19" s="75">
        <v>-2.2000000000000001E-3</v>
      </c>
      <c r="AV19" s="75">
        <v>0</v>
      </c>
      <c r="AW19" s="75">
        <v>2.8999999999999998E-3</v>
      </c>
      <c r="AX19" s="75">
        <v>-2.5000000000000001E-3</v>
      </c>
      <c r="AY19" s="75">
        <v>-5.0000000000000001E-4</v>
      </c>
      <c r="AZ19" s="75">
        <v>-1.9E-3</v>
      </c>
      <c r="BA19" s="75">
        <v>-1.1999999999999999E-3</v>
      </c>
      <c r="BB19" s="75">
        <v>-2.0000000000000001E-4</v>
      </c>
      <c r="BC19" s="75">
        <v>1.1000000000000001E-3</v>
      </c>
      <c r="BD19" s="75">
        <v>5.0000000000000001E-4</v>
      </c>
      <c r="BE19" s="75">
        <v>-1E-4</v>
      </c>
      <c r="BF19" s="75">
        <v>-2.8E-3</v>
      </c>
      <c r="BG19" s="75">
        <v>-6.9999999999999999E-4</v>
      </c>
      <c r="BH19" s="75">
        <v>5.9999999999999995E-4</v>
      </c>
      <c r="BI19" s="75">
        <v>2.0000000000000001E-4</v>
      </c>
      <c r="BJ19" s="75">
        <v>-4.0000000000000002E-4</v>
      </c>
      <c r="BK19" s="75">
        <v>-2.2000000000000001E-3</v>
      </c>
      <c r="BL19" s="75"/>
      <c r="BM19" s="75"/>
      <c r="BN19" s="80"/>
      <c r="BO19" s="81"/>
      <c r="BP19" s="82"/>
      <c r="BQ19" s="82"/>
      <c r="BR19" s="82"/>
      <c r="BS19" s="82"/>
      <c r="BT19" s="82"/>
      <c r="BU19" s="82"/>
      <c r="BV19" s="82"/>
      <c r="BW19" s="82"/>
      <c r="BX19" s="82"/>
      <c r="BY19" s="82"/>
      <c r="BZ19" s="82"/>
      <c r="CA19" s="82"/>
      <c r="CB19" s="82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82"/>
      <c r="CP19" s="82"/>
      <c r="CQ19" s="82"/>
      <c r="CR19" s="82"/>
      <c r="CS19" s="82"/>
      <c r="CT19" s="82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2"/>
      <c r="DG19" s="82"/>
      <c r="DH19" s="82"/>
      <c r="DI19" s="82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2"/>
      <c r="DZ19" s="82"/>
      <c r="EA19" s="82"/>
      <c r="EB19" s="82"/>
      <c r="EC19" s="82"/>
      <c r="ED19" s="82"/>
    </row>
    <row r="20" spans="1:134" ht="15" customHeight="1">
      <c r="A20" s="22"/>
      <c r="B20" s="23"/>
      <c r="C20" s="24" t="s">
        <v>92</v>
      </c>
      <c r="D20" s="23" t="s">
        <v>54</v>
      </c>
      <c r="E20" s="23"/>
      <c r="F20" s="25" t="s">
        <v>50</v>
      </c>
      <c r="G20" s="26">
        <v>0</v>
      </c>
      <c r="H20" s="27">
        <v>0.15</v>
      </c>
      <c r="I20" s="27">
        <v>-0.15</v>
      </c>
      <c r="J20" s="39" t="s">
        <v>51</v>
      </c>
      <c r="K20" s="40" t="s">
        <v>52</v>
      </c>
      <c r="L20" s="41">
        <f t="shared" si="15"/>
        <v>0.15</v>
      </c>
      <c r="M20" s="42">
        <f t="shared" si="16"/>
        <v>-0.15</v>
      </c>
      <c r="N20" s="45"/>
      <c r="O20" s="44">
        <f t="shared" si="17"/>
        <v>3.4200000000000001E-2</v>
      </c>
      <c r="P20" s="44">
        <f t="shared" si="18"/>
        <v>1.47E-2</v>
      </c>
      <c r="Q20" s="44">
        <f t="shared" si="19"/>
        <v>2.0986206896551722E-2</v>
      </c>
      <c r="R20" s="52">
        <f t="shared" si="20"/>
        <v>3.6992010853629923E-3</v>
      </c>
      <c r="S20" s="53">
        <f t="shared" si="21"/>
        <v>13.516432020373294</v>
      </c>
      <c r="T20" s="53">
        <f t="shared" si="22"/>
        <v>11.625374427821757</v>
      </c>
      <c r="U20" s="53">
        <f t="shared" si="23"/>
        <v>15.407489612924833</v>
      </c>
      <c r="V20" s="53">
        <f t="shared" si="24"/>
        <v>11.625374427821757</v>
      </c>
      <c r="W20" s="54">
        <f t="shared" si="25"/>
        <v>1</v>
      </c>
      <c r="X20" s="55" t="str">
        <f t="shared" si="26"/>
        <v/>
      </c>
      <c r="Y20" s="55" t="str">
        <f t="shared" si="27"/>
        <v/>
      </c>
      <c r="Z20" s="55">
        <f t="shared" si="28"/>
        <v>-2.0986206896551722E-2</v>
      </c>
      <c r="AA20" s="55" t="str">
        <f t="shared" si="14"/>
        <v/>
      </c>
      <c r="AB20" s="61"/>
      <c r="AC20" s="62"/>
      <c r="AD20" s="63"/>
      <c r="AE20" s="64"/>
      <c r="AF20" s="64"/>
      <c r="AG20" s="73"/>
      <c r="AH20" s="74"/>
      <c r="AI20" s="75">
        <v>2.01E-2</v>
      </c>
      <c r="AJ20" s="75">
        <v>1.9199999999999998E-2</v>
      </c>
      <c r="AK20" s="75">
        <v>1.8100000000000002E-2</v>
      </c>
      <c r="AL20" s="75">
        <v>1.7000000000000001E-2</v>
      </c>
      <c r="AM20" s="75">
        <v>1.9099999999999999E-2</v>
      </c>
      <c r="AN20" s="75">
        <v>2.7099999999999999E-2</v>
      </c>
      <c r="AO20" s="75">
        <v>2.0799999999999999E-2</v>
      </c>
      <c r="AP20" s="75">
        <v>1.7899999999999999E-2</v>
      </c>
      <c r="AQ20" s="75">
        <v>1.8800000000000001E-2</v>
      </c>
      <c r="AR20" s="75">
        <v>1.47E-2</v>
      </c>
      <c r="AS20" s="75">
        <v>2.0799999999999999E-2</v>
      </c>
      <c r="AT20" s="75">
        <v>2.2599999999999999E-2</v>
      </c>
      <c r="AU20" s="75">
        <v>1.9E-2</v>
      </c>
      <c r="AV20" s="75">
        <v>2.1700000000000001E-2</v>
      </c>
      <c r="AW20" s="75">
        <v>3.4200000000000001E-2</v>
      </c>
      <c r="AX20" s="75">
        <v>2.1299999999999999E-2</v>
      </c>
      <c r="AY20" s="75">
        <v>2.1899999999999999E-2</v>
      </c>
      <c r="AZ20" s="75">
        <v>2.47E-2</v>
      </c>
      <c r="BA20" s="75">
        <v>2.24E-2</v>
      </c>
      <c r="BB20" s="75">
        <v>2.2800000000000001E-2</v>
      </c>
      <c r="BC20" s="75">
        <v>1.6799999999999999E-2</v>
      </c>
      <c r="BD20" s="75">
        <v>2.4199999999999999E-2</v>
      </c>
      <c r="BE20" s="75">
        <v>0.02</v>
      </c>
      <c r="BF20" s="75">
        <v>1.9E-2</v>
      </c>
      <c r="BG20" s="75">
        <v>2.2499999999999999E-2</v>
      </c>
      <c r="BH20" s="75">
        <v>1.77E-2</v>
      </c>
      <c r="BI20" s="75">
        <v>2.4199999999999999E-2</v>
      </c>
      <c r="BJ20" s="75">
        <v>2.0400000000000001E-2</v>
      </c>
      <c r="BK20" s="75">
        <v>1.9599999999999999E-2</v>
      </c>
      <c r="BL20" s="75"/>
      <c r="BM20" s="75"/>
      <c r="BN20" s="80"/>
      <c r="BO20" s="81"/>
      <c r="BP20" s="82"/>
      <c r="BQ20" s="82"/>
      <c r="BR20" s="82"/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2"/>
      <c r="CP20" s="82"/>
      <c r="CQ20" s="82"/>
      <c r="CR20" s="82"/>
      <c r="CS20" s="82"/>
      <c r="CT20" s="82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2"/>
      <c r="DG20" s="82"/>
      <c r="DH20" s="82"/>
      <c r="DI20" s="82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2"/>
      <c r="DZ20" s="82"/>
      <c r="EA20" s="82"/>
      <c r="EB20" s="82"/>
      <c r="EC20" s="82"/>
      <c r="ED20" s="82"/>
    </row>
    <row r="21" spans="1:134" ht="15" customHeight="1">
      <c r="A21" s="22"/>
      <c r="B21" s="23"/>
      <c r="C21" s="24" t="s">
        <v>93</v>
      </c>
      <c r="D21" s="23" t="s">
        <v>54</v>
      </c>
      <c r="E21" s="23"/>
      <c r="F21" s="25" t="s">
        <v>50</v>
      </c>
      <c r="G21" s="26">
        <v>0</v>
      </c>
      <c r="H21" s="27">
        <v>0.15</v>
      </c>
      <c r="I21" s="27">
        <v>-0.15</v>
      </c>
      <c r="J21" s="39" t="s">
        <v>51</v>
      </c>
      <c r="K21" s="40" t="s">
        <v>52</v>
      </c>
      <c r="L21" s="41">
        <f t="shared" si="15"/>
        <v>0.15</v>
      </c>
      <c r="M21" s="42">
        <f t="shared" si="16"/>
        <v>-0.15</v>
      </c>
      <c r="N21" s="45"/>
      <c r="O21" s="44">
        <f t="shared" si="17"/>
        <v>1.37E-2</v>
      </c>
      <c r="P21" s="44">
        <f t="shared" si="18"/>
        <v>-6.7999999999999996E-3</v>
      </c>
      <c r="Q21" s="44">
        <f t="shared" si="19"/>
        <v>-2.0689655172413797E-5</v>
      </c>
      <c r="R21" s="52">
        <f t="shared" si="20"/>
        <v>3.7691775637914916E-3</v>
      </c>
      <c r="S21" s="53">
        <f t="shared" si="21"/>
        <v>13.265493374555692</v>
      </c>
      <c r="T21" s="53">
        <f t="shared" si="22"/>
        <v>13.267323097779768</v>
      </c>
      <c r="U21" s="53">
        <f t="shared" si="23"/>
        <v>13.263663651331616</v>
      </c>
      <c r="V21" s="53">
        <f t="shared" si="24"/>
        <v>13.263663651331616</v>
      </c>
      <c r="W21" s="54">
        <f t="shared" si="25"/>
        <v>1</v>
      </c>
      <c r="X21" s="55" t="str">
        <f t="shared" si="26"/>
        <v/>
      </c>
      <c r="Y21" s="55" t="str">
        <f t="shared" si="27"/>
        <v/>
      </c>
      <c r="Z21" s="55">
        <f t="shared" si="28"/>
        <v>2.0689655172413797E-5</v>
      </c>
      <c r="AA21" s="55" t="str">
        <f t="shared" si="14"/>
        <v/>
      </c>
      <c r="AB21" s="61"/>
      <c r="AC21" s="62"/>
      <c r="AD21" s="63"/>
      <c r="AE21" s="64"/>
      <c r="AF21" s="64"/>
      <c r="AG21" s="73"/>
      <c r="AH21" s="74"/>
      <c r="AI21" s="75">
        <v>-1.6000000000000001E-3</v>
      </c>
      <c r="AJ21" s="75">
        <v>1.6000000000000001E-3</v>
      </c>
      <c r="AK21" s="75">
        <v>-2.8999999999999998E-3</v>
      </c>
      <c r="AL21" s="75">
        <v>5.0000000000000001E-4</v>
      </c>
      <c r="AM21" s="75">
        <v>-2.2000000000000001E-3</v>
      </c>
      <c r="AN21" s="75">
        <v>1.4E-3</v>
      </c>
      <c r="AO21" s="75">
        <v>2.2000000000000001E-3</v>
      </c>
      <c r="AP21" s="75">
        <v>-6.7999999999999996E-3</v>
      </c>
      <c r="AQ21" s="75">
        <v>-6.9999999999999999E-4</v>
      </c>
      <c r="AR21" s="75">
        <v>-2.9999999999999997E-4</v>
      </c>
      <c r="AS21" s="75">
        <v>-1E-3</v>
      </c>
      <c r="AT21" s="75">
        <v>3.0000000000000001E-3</v>
      </c>
      <c r="AU21" s="75">
        <v>-2.0999999999999999E-3</v>
      </c>
      <c r="AV21" s="75">
        <v>2.0000000000000001E-4</v>
      </c>
      <c r="AW21" s="75">
        <v>1.37E-2</v>
      </c>
      <c r="AX21" s="75">
        <v>3.5999999999999999E-3</v>
      </c>
      <c r="AY21" s="75">
        <v>0</v>
      </c>
      <c r="AZ21" s="75">
        <v>6.9999999999999999E-4</v>
      </c>
      <c r="BA21" s="75">
        <v>5.0000000000000001E-4</v>
      </c>
      <c r="BB21" s="75">
        <v>1.8E-3</v>
      </c>
      <c r="BC21" s="75">
        <v>-6.7000000000000002E-3</v>
      </c>
      <c r="BD21" s="75">
        <v>-1.6000000000000001E-3</v>
      </c>
      <c r="BE21" s="75">
        <v>-5.9999999999999995E-4</v>
      </c>
      <c r="BF21" s="75">
        <v>2E-3</v>
      </c>
      <c r="BG21" s="75">
        <v>1.6999999999999999E-3</v>
      </c>
      <c r="BH21" s="75">
        <v>-6.7999999999999996E-3</v>
      </c>
      <c r="BI21" s="75">
        <v>-1.6000000000000001E-3</v>
      </c>
      <c r="BJ21" s="75">
        <v>-2.9999999999999997E-4</v>
      </c>
      <c r="BK21" s="75">
        <v>1.6999999999999999E-3</v>
      </c>
      <c r="BL21" s="75"/>
      <c r="BM21" s="75"/>
      <c r="BN21" s="80"/>
      <c r="BO21" s="81"/>
      <c r="BP21" s="82"/>
      <c r="BQ21" s="82"/>
      <c r="BR21" s="82"/>
      <c r="BS21" s="82"/>
      <c r="BT21" s="82"/>
      <c r="BU21" s="82"/>
      <c r="BV21" s="82"/>
      <c r="BW21" s="82"/>
      <c r="BX21" s="82"/>
      <c r="BY21" s="82"/>
      <c r="BZ21" s="82"/>
      <c r="CA21" s="82"/>
      <c r="CB21" s="82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82"/>
      <c r="CP21" s="82"/>
      <c r="CQ21" s="82"/>
      <c r="CR21" s="82"/>
      <c r="CS21" s="82"/>
      <c r="CT21" s="82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2"/>
      <c r="DG21" s="82"/>
      <c r="DH21" s="82"/>
      <c r="DI21" s="82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2"/>
      <c r="DZ21" s="82"/>
      <c r="EA21" s="82"/>
      <c r="EB21" s="82"/>
      <c r="EC21" s="82"/>
      <c r="ED21" s="82"/>
    </row>
    <row r="22" spans="1:134" ht="15" customHeight="1">
      <c r="A22" s="22"/>
      <c r="B22" s="23"/>
      <c r="C22" s="24" t="s">
        <v>94</v>
      </c>
      <c r="D22" s="23" t="s">
        <v>54</v>
      </c>
      <c r="E22" s="23"/>
      <c r="F22" s="25" t="s">
        <v>50</v>
      </c>
      <c r="G22" s="26">
        <v>0</v>
      </c>
      <c r="H22" s="27">
        <v>0.15</v>
      </c>
      <c r="I22" s="27">
        <v>-0.15</v>
      </c>
      <c r="J22" s="39" t="s">
        <v>51</v>
      </c>
      <c r="K22" s="40" t="s">
        <v>52</v>
      </c>
      <c r="L22" s="41">
        <f t="shared" si="15"/>
        <v>0.15</v>
      </c>
      <c r="M22" s="42">
        <f t="shared" si="16"/>
        <v>-0.15</v>
      </c>
      <c r="N22" s="46"/>
      <c r="O22" s="44">
        <f t="shared" si="17"/>
        <v>4.4000000000000003E-3</v>
      </c>
      <c r="P22" s="44">
        <f t="shared" si="18"/>
        <v>-5.0000000000000001E-3</v>
      </c>
      <c r="Q22" s="44">
        <f t="shared" si="19"/>
        <v>-3.1379310344827581E-4</v>
      </c>
      <c r="R22" s="52">
        <f t="shared" si="20"/>
        <v>2.0827049955579801E-3</v>
      </c>
      <c r="S22" s="53">
        <f t="shared" si="21"/>
        <v>24.007240634963011</v>
      </c>
      <c r="T22" s="53">
        <f t="shared" si="22"/>
        <v>24.057462678590177</v>
      </c>
      <c r="U22" s="53">
        <f t="shared" si="23"/>
        <v>23.957018591335846</v>
      </c>
      <c r="V22" s="53">
        <f t="shared" si="24"/>
        <v>23.957018591335846</v>
      </c>
      <c r="W22" s="54">
        <f t="shared" si="25"/>
        <v>1</v>
      </c>
      <c r="X22" s="55" t="str">
        <f t="shared" si="26"/>
        <v/>
      </c>
      <c r="Y22" s="55" t="str">
        <f t="shared" si="27"/>
        <v/>
      </c>
      <c r="Z22" s="55">
        <f t="shared" si="28"/>
        <v>3.1379310344827581E-4</v>
      </c>
      <c r="AA22" s="55" t="str">
        <f t="shared" si="14"/>
        <v/>
      </c>
      <c r="AB22" s="61"/>
      <c r="AC22" s="62"/>
      <c r="AD22" s="63"/>
      <c r="AE22" s="64"/>
      <c r="AF22" s="64"/>
      <c r="AG22" s="73"/>
      <c r="AH22" s="76"/>
      <c r="AI22" s="75">
        <v>-1.5E-3</v>
      </c>
      <c r="AJ22" s="75">
        <v>-1.8E-3</v>
      </c>
      <c r="AK22" s="75">
        <v>-2.9999999999999997E-4</v>
      </c>
      <c r="AL22" s="75">
        <v>1.1000000000000001E-3</v>
      </c>
      <c r="AM22" s="75">
        <v>-1.2999999999999999E-3</v>
      </c>
      <c r="AN22" s="75">
        <v>-5.0000000000000001E-3</v>
      </c>
      <c r="AO22" s="75">
        <v>-1E-3</v>
      </c>
      <c r="AP22" s="75">
        <v>-4.0000000000000002E-4</v>
      </c>
      <c r="AQ22" s="75">
        <v>6.9999999999999999E-4</v>
      </c>
      <c r="AR22" s="75">
        <v>1.6999999999999999E-3</v>
      </c>
      <c r="AS22" s="75">
        <v>-8.0000000000000004E-4</v>
      </c>
      <c r="AT22" s="75">
        <v>1E-3</v>
      </c>
      <c r="AU22" s="75">
        <v>2.2000000000000001E-3</v>
      </c>
      <c r="AV22" s="75">
        <v>-5.9999999999999995E-4</v>
      </c>
      <c r="AW22" s="75">
        <v>-3.5000000000000001E-3</v>
      </c>
      <c r="AX22" s="75">
        <v>-2.0000000000000001E-4</v>
      </c>
      <c r="AY22" s="75">
        <v>-2.2000000000000001E-3</v>
      </c>
      <c r="AZ22" s="75">
        <v>-8.0000000000000004E-4</v>
      </c>
      <c r="BA22" s="75">
        <v>1.6000000000000001E-3</v>
      </c>
      <c r="BB22" s="75">
        <v>-2.7000000000000001E-3</v>
      </c>
      <c r="BC22" s="75">
        <v>4.4000000000000003E-3</v>
      </c>
      <c r="BD22" s="75">
        <v>-2.3E-3</v>
      </c>
      <c r="BE22" s="75">
        <v>1.1000000000000001E-3</v>
      </c>
      <c r="BF22" s="75">
        <v>1.1999999999999999E-3</v>
      </c>
      <c r="BG22" s="75">
        <v>-2.8E-3</v>
      </c>
      <c r="BH22" s="75">
        <v>3.7000000000000002E-3</v>
      </c>
      <c r="BI22" s="75">
        <v>-1.4E-3</v>
      </c>
      <c r="BJ22" s="75">
        <v>1E-3</v>
      </c>
      <c r="BK22" s="75">
        <v>-2.0000000000000001E-4</v>
      </c>
      <c r="BL22" s="75"/>
      <c r="BM22" s="75"/>
      <c r="BN22" s="80"/>
      <c r="BO22" s="81"/>
      <c r="BP22" s="82"/>
      <c r="BQ22" s="82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82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2"/>
      <c r="DG22" s="82"/>
      <c r="DH22" s="82"/>
      <c r="DI22" s="82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2"/>
      <c r="DZ22" s="82"/>
      <c r="EA22" s="82"/>
      <c r="EB22" s="82"/>
      <c r="EC22" s="82"/>
      <c r="ED22" s="82"/>
    </row>
    <row r="23" spans="1:134" ht="15" customHeight="1">
      <c r="A23" s="22"/>
      <c r="B23" s="23"/>
      <c r="C23" s="24" t="s">
        <v>95</v>
      </c>
      <c r="D23" s="23" t="s">
        <v>54</v>
      </c>
      <c r="E23" s="23"/>
      <c r="F23" s="25" t="s">
        <v>50</v>
      </c>
      <c r="G23" s="26">
        <v>0</v>
      </c>
      <c r="H23" s="27">
        <v>0.15</v>
      </c>
      <c r="I23" s="27">
        <v>-0.15</v>
      </c>
      <c r="J23" s="39" t="s">
        <v>51</v>
      </c>
      <c r="K23" s="40" t="s">
        <v>52</v>
      </c>
      <c r="L23" s="41">
        <f t="shared" si="15"/>
        <v>0.15</v>
      </c>
      <c r="M23" s="42">
        <f t="shared" si="16"/>
        <v>-0.15</v>
      </c>
      <c r="N23" s="46"/>
      <c r="O23" s="44">
        <f t="shared" si="17"/>
        <v>-9.1999999999999998E-3</v>
      </c>
      <c r="P23" s="44">
        <f t="shared" si="18"/>
        <v>-4.0099999999999997E-2</v>
      </c>
      <c r="Q23" s="44">
        <f t="shared" si="19"/>
        <v>-1.6058620689655169E-2</v>
      </c>
      <c r="R23" s="52">
        <f t="shared" si="20"/>
        <v>5.6165900459124191E-3</v>
      </c>
      <c r="S23" s="53">
        <f t="shared" si="21"/>
        <v>8.9021985922558926</v>
      </c>
      <c r="T23" s="53">
        <f t="shared" si="22"/>
        <v>9.8552454622360219</v>
      </c>
      <c r="U23" s="53">
        <f t="shared" si="23"/>
        <v>7.9491517222757615</v>
      </c>
      <c r="V23" s="53">
        <f t="shared" si="24"/>
        <v>7.9491517222757615</v>
      </c>
      <c r="W23" s="54">
        <f t="shared" si="25"/>
        <v>1</v>
      </c>
      <c r="X23" s="55" t="str">
        <f t="shared" si="26"/>
        <v/>
      </c>
      <c r="Y23" s="55" t="str">
        <f t="shared" si="27"/>
        <v/>
      </c>
      <c r="Z23" s="55">
        <f t="shared" si="28"/>
        <v>1.6058620689655169E-2</v>
      </c>
      <c r="AA23" s="55" t="str">
        <f t="shared" si="14"/>
        <v/>
      </c>
      <c r="AB23" s="61"/>
      <c r="AC23" s="62"/>
      <c r="AD23" s="63"/>
      <c r="AE23" s="64"/>
      <c r="AF23" s="64"/>
      <c r="AG23" s="73"/>
      <c r="AH23" s="76"/>
      <c r="AI23" s="75">
        <v>-1.5699999999999999E-2</v>
      </c>
      <c r="AJ23" s="75">
        <v>-1.41E-2</v>
      </c>
      <c r="AK23" s="75">
        <v>-1.14E-2</v>
      </c>
      <c r="AL23" s="75">
        <v>-1.77E-2</v>
      </c>
      <c r="AM23" s="75">
        <v>-1.2500000000000001E-2</v>
      </c>
      <c r="AN23" s="75">
        <v>-2.07E-2</v>
      </c>
      <c r="AO23" s="75">
        <v>-1.7399999999999999E-2</v>
      </c>
      <c r="AP23" s="75">
        <v>-9.1999999999999998E-3</v>
      </c>
      <c r="AQ23" s="75">
        <v>-1.32E-2</v>
      </c>
      <c r="AR23" s="75">
        <v>-1.1599999999999999E-2</v>
      </c>
      <c r="AS23" s="75">
        <v>-1.6500000000000001E-2</v>
      </c>
      <c r="AT23" s="75">
        <v>-1.8599999999999998E-2</v>
      </c>
      <c r="AU23" s="75">
        <v>-1.17E-2</v>
      </c>
      <c r="AV23" s="75">
        <v>-1.7600000000000001E-2</v>
      </c>
      <c r="AW23" s="75">
        <v>-4.0099999999999997E-2</v>
      </c>
      <c r="AX23" s="75">
        <v>-2.1000000000000001E-2</v>
      </c>
      <c r="AY23" s="75">
        <v>-1.3299999999999999E-2</v>
      </c>
      <c r="AZ23" s="75">
        <v>-1.78E-2</v>
      </c>
      <c r="BA23" s="75">
        <v>-1.8700000000000001E-2</v>
      </c>
      <c r="BB23" s="75">
        <v>-1.8499999999999999E-2</v>
      </c>
      <c r="BC23" s="75">
        <v>-1.0200000000000001E-2</v>
      </c>
      <c r="BD23" s="75">
        <v>-1.37E-2</v>
      </c>
      <c r="BE23" s="75">
        <v>-1.6299999999999999E-2</v>
      </c>
      <c r="BF23" s="75">
        <v>-1.6E-2</v>
      </c>
      <c r="BG23" s="75">
        <v>-1.7000000000000001E-2</v>
      </c>
      <c r="BH23" s="75">
        <v>-9.2999999999999992E-3</v>
      </c>
      <c r="BI23" s="75">
        <v>-1.46E-2</v>
      </c>
      <c r="BJ23" s="75">
        <v>-1.6299999999999999E-2</v>
      </c>
      <c r="BK23" s="75">
        <v>-1.4999999999999999E-2</v>
      </c>
      <c r="BL23" s="75"/>
      <c r="BM23" s="75"/>
      <c r="BN23" s="80"/>
      <c r="BO23" s="81"/>
      <c r="BP23" s="82"/>
      <c r="BQ23" s="82"/>
      <c r="BR23" s="82"/>
      <c r="BS23" s="82"/>
      <c r="BT23" s="82"/>
      <c r="BU23" s="82"/>
      <c r="BV23" s="82"/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82"/>
      <c r="CP23" s="82"/>
      <c r="CQ23" s="82"/>
      <c r="CR23" s="82"/>
      <c r="CS23" s="82"/>
      <c r="CT23" s="82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2"/>
      <c r="DG23" s="82"/>
      <c r="DH23" s="82"/>
      <c r="DI23" s="82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2"/>
      <c r="DZ23" s="82"/>
      <c r="EA23" s="82"/>
      <c r="EB23" s="82"/>
      <c r="EC23" s="82"/>
      <c r="ED23" s="82"/>
    </row>
    <row r="24" spans="1:134" ht="15" customHeight="1">
      <c r="A24" s="22"/>
      <c r="B24" s="23"/>
      <c r="C24" s="24" t="s">
        <v>96</v>
      </c>
      <c r="D24" s="23" t="s">
        <v>54</v>
      </c>
      <c r="E24" s="23"/>
      <c r="F24" s="25" t="s">
        <v>50</v>
      </c>
      <c r="G24" s="26">
        <v>0</v>
      </c>
      <c r="H24" s="27">
        <v>0.15</v>
      </c>
      <c r="I24" s="27">
        <v>-0.15</v>
      </c>
      <c r="J24" s="39" t="s">
        <v>51</v>
      </c>
      <c r="K24" s="40" t="s">
        <v>52</v>
      </c>
      <c r="L24" s="41">
        <f t="shared" si="15"/>
        <v>0.15</v>
      </c>
      <c r="M24" s="42">
        <f t="shared" si="16"/>
        <v>-0.15</v>
      </c>
      <c r="N24" s="45"/>
      <c r="O24" s="44">
        <f t="shared" si="17"/>
        <v>3.3999999999999998E-3</v>
      </c>
      <c r="P24" s="44">
        <f t="shared" si="18"/>
        <v>-4.0800000000000003E-2</v>
      </c>
      <c r="Q24" s="44">
        <f t="shared" si="19"/>
        <v>-1.9137931034482762E-3</v>
      </c>
      <c r="R24" s="52">
        <f t="shared" si="20"/>
        <v>7.6730848768336718E-3</v>
      </c>
      <c r="S24" s="53">
        <f t="shared" si="21"/>
        <v>6.5162839721685302</v>
      </c>
      <c r="T24" s="53">
        <f t="shared" si="22"/>
        <v>6.5994227676755086</v>
      </c>
      <c r="U24" s="53">
        <f t="shared" si="23"/>
        <v>6.4331451766615526</v>
      </c>
      <c r="V24" s="53">
        <f t="shared" si="24"/>
        <v>6.4331451766615526</v>
      </c>
      <c r="W24" s="54">
        <f t="shared" si="25"/>
        <v>1</v>
      </c>
      <c r="X24" s="55" t="str">
        <f t="shared" si="26"/>
        <v/>
      </c>
      <c r="Y24" s="55" t="str">
        <f t="shared" si="27"/>
        <v/>
      </c>
      <c r="Z24" s="55">
        <f t="shared" si="28"/>
        <v>1.9137931034482762E-3</v>
      </c>
      <c r="AA24" s="55" t="str">
        <f t="shared" si="14"/>
        <v/>
      </c>
      <c r="AB24" s="61"/>
      <c r="AC24" s="62"/>
      <c r="AD24" s="63"/>
      <c r="AE24" s="64"/>
      <c r="AF24" s="64"/>
      <c r="AG24" s="73"/>
      <c r="AH24" s="74"/>
      <c r="AI24" s="75">
        <v>2.5999999999999999E-3</v>
      </c>
      <c r="AJ24" s="75">
        <v>-5.0000000000000001E-4</v>
      </c>
      <c r="AK24" s="75">
        <v>2E-3</v>
      </c>
      <c r="AL24" s="75">
        <v>2.7000000000000001E-3</v>
      </c>
      <c r="AM24" s="75">
        <v>2.0000000000000001E-4</v>
      </c>
      <c r="AN24" s="75">
        <v>1.6999999999999999E-3</v>
      </c>
      <c r="AO24" s="75">
        <v>-6.9999999999999999E-4</v>
      </c>
      <c r="AP24" s="75">
        <v>3.3999999999999998E-3</v>
      </c>
      <c r="AQ24" s="75">
        <v>-1.1999999999999999E-3</v>
      </c>
      <c r="AR24" s="75">
        <v>-2E-3</v>
      </c>
      <c r="AS24" s="75">
        <v>8.0000000000000004E-4</v>
      </c>
      <c r="AT24" s="75">
        <v>-3.5999999999999999E-3</v>
      </c>
      <c r="AU24" s="75">
        <v>-2.5999999999999999E-3</v>
      </c>
      <c r="AV24" s="75">
        <v>-1.1999999999999999E-3</v>
      </c>
      <c r="AW24" s="75">
        <v>-4.0800000000000003E-2</v>
      </c>
      <c r="AX24" s="75">
        <v>5.9999999999999995E-4</v>
      </c>
      <c r="AY24" s="75">
        <v>-5.9999999999999995E-4</v>
      </c>
      <c r="AZ24" s="75">
        <v>-1.1000000000000001E-3</v>
      </c>
      <c r="BA24" s="75">
        <v>-1.2999999999999999E-3</v>
      </c>
      <c r="BB24" s="75">
        <v>-5.9999999999999995E-4</v>
      </c>
      <c r="BC24" s="75">
        <v>-8.0000000000000004E-4</v>
      </c>
      <c r="BD24" s="75">
        <v>-2.0999999999999999E-3</v>
      </c>
      <c r="BE24" s="75">
        <v>-2.9999999999999997E-4</v>
      </c>
      <c r="BF24" s="75">
        <v>-2.5000000000000001E-3</v>
      </c>
      <c r="BG24" s="75">
        <v>-1.2999999999999999E-3</v>
      </c>
      <c r="BH24" s="75">
        <v>-1E-3</v>
      </c>
      <c r="BI24" s="75">
        <v>-2.0999999999999999E-3</v>
      </c>
      <c r="BJ24" s="75">
        <v>-5.9999999999999995E-4</v>
      </c>
      <c r="BK24" s="75">
        <v>-2.5999999999999999E-3</v>
      </c>
      <c r="BL24" s="75"/>
      <c r="BM24" s="75"/>
      <c r="BN24" s="80"/>
      <c r="BO24" s="81"/>
      <c r="BP24" s="82"/>
      <c r="BQ24" s="82"/>
      <c r="BR24" s="82"/>
      <c r="BS24" s="82"/>
      <c r="BT24" s="82"/>
      <c r="BU24" s="82"/>
      <c r="BV24" s="82"/>
      <c r="BW24" s="82"/>
      <c r="BX24" s="82"/>
      <c r="BY24" s="82"/>
      <c r="BZ24" s="82"/>
      <c r="CA24" s="82"/>
      <c r="CB24" s="82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82"/>
      <c r="CP24" s="82"/>
      <c r="CQ24" s="82"/>
      <c r="CR24" s="82"/>
      <c r="CS24" s="82"/>
      <c r="CT24" s="82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2"/>
      <c r="DG24" s="82"/>
      <c r="DH24" s="82"/>
      <c r="DI24" s="82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2"/>
      <c r="DZ24" s="82"/>
      <c r="EA24" s="82"/>
      <c r="EB24" s="82"/>
      <c r="EC24" s="82"/>
      <c r="ED24" s="82"/>
    </row>
    <row r="25" spans="1:134" ht="15" customHeight="1">
      <c r="A25" s="22"/>
      <c r="B25" s="23"/>
      <c r="C25" s="24" t="s">
        <v>97</v>
      </c>
      <c r="D25" s="23" t="s">
        <v>54</v>
      </c>
      <c r="E25" s="23"/>
      <c r="F25" s="25" t="s">
        <v>50</v>
      </c>
      <c r="G25" s="26">
        <v>0</v>
      </c>
      <c r="H25" s="27">
        <v>0.15</v>
      </c>
      <c r="I25" s="27">
        <v>-0.15</v>
      </c>
      <c r="J25" s="39" t="s">
        <v>51</v>
      </c>
      <c r="K25" s="40" t="s">
        <v>52</v>
      </c>
      <c r="L25" s="41">
        <f t="shared" si="15"/>
        <v>0.15</v>
      </c>
      <c r="M25" s="42">
        <f t="shared" si="16"/>
        <v>-0.15</v>
      </c>
      <c r="N25" s="45"/>
      <c r="O25" s="44">
        <f t="shared" si="17"/>
        <v>9.5799999999999996E-2</v>
      </c>
      <c r="P25" s="44">
        <f t="shared" si="18"/>
        <v>2.8E-3</v>
      </c>
      <c r="Q25" s="44">
        <f t="shared" si="19"/>
        <v>1.0958620689655172E-2</v>
      </c>
      <c r="R25" s="52">
        <f t="shared" si="20"/>
        <v>1.6573182236919018E-2</v>
      </c>
      <c r="S25" s="53">
        <f t="shared" si="21"/>
        <v>3.0169221146086356</v>
      </c>
      <c r="T25" s="53">
        <f t="shared" si="22"/>
        <v>2.7965134139137793</v>
      </c>
      <c r="U25" s="53">
        <f t="shared" si="23"/>
        <v>3.2373308153034914</v>
      </c>
      <c r="V25" s="53">
        <f t="shared" si="24"/>
        <v>2.7965134139137793</v>
      </c>
      <c r="W25" s="54">
        <f t="shared" si="25"/>
        <v>1</v>
      </c>
      <c r="X25" s="55" t="str">
        <f t="shared" si="26"/>
        <v/>
      </c>
      <c r="Y25" s="55" t="str">
        <f t="shared" si="27"/>
        <v/>
      </c>
      <c r="Z25" s="55">
        <f t="shared" si="28"/>
        <v>-1.0958620689655172E-2</v>
      </c>
      <c r="AA25" s="55" t="str">
        <f t="shared" si="14"/>
        <v/>
      </c>
      <c r="AB25" s="61"/>
      <c r="AC25" s="62"/>
      <c r="AD25" s="63"/>
      <c r="AE25" s="64"/>
      <c r="AF25" s="64"/>
      <c r="AG25" s="73"/>
      <c r="AH25" s="74"/>
      <c r="AI25" s="75">
        <v>9.4999999999999998E-3</v>
      </c>
      <c r="AJ25" s="75">
        <v>7.3000000000000001E-3</v>
      </c>
      <c r="AK25" s="75">
        <v>3.2000000000000002E-3</v>
      </c>
      <c r="AL25" s="75">
        <v>7.0000000000000001E-3</v>
      </c>
      <c r="AM25" s="75">
        <v>8.8000000000000005E-3</v>
      </c>
      <c r="AN25" s="75">
        <v>1.32E-2</v>
      </c>
      <c r="AO25" s="75">
        <v>8.8000000000000005E-3</v>
      </c>
      <c r="AP25" s="75">
        <v>4.0000000000000001E-3</v>
      </c>
      <c r="AQ25" s="75">
        <v>5.4999999999999997E-3</v>
      </c>
      <c r="AR25" s="75">
        <v>5.4999999999999997E-3</v>
      </c>
      <c r="AS25" s="75">
        <v>9.7999999999999997E-3</v>
      </c>
      <c r="AT25" s="75">
        <v>8.6999999999999994E-3</v>
      </c>
      <c r="AU25" s="75">
        <v>4.7000000000000002E-3</v>
      </c>
      <c r="AV25" s="75">
        <v>1.23E-2</v>
      </c>
      <c r="AW25" s="75">
        <v>9.5799999999999996E-2</v>
      </c>
      <c r="AX25" s="75">
        <v>1.01E-2</v>
      </c>
      <c r="AY25" s="75">
        <v>5.4000000000000003E-3</v>
      </c>
      <c r="AZ25" s="75">
        <v>8.9999999999999993E-3</v>
      </c>
      <c r="BA25" s="75">
        <v>8.3999999999999995E-3</v>
      </c>
      <c r="BB25" s="75">
        <v>1.38E-2</v>
      </c>
      <c r="BC25" s="75">
        <v>3.5999999999999999E-3</v>
      </c>
      <c r="BD25" s="75">
        <v>8.8999999999999999E-3</v>
      </c>
      <c r="BE25" s="75">
        <v>7.3000000000000001E-3</v>
      </c>
      <c r="BF25" s="75">
        <v>7.4999999999999997E-3</v>
      </c>
      <c r="BG25" s="75">
        <v>1.29E-2</v>
      </c>
      <c r="BH25" s="75">
        <v>2.8E-3</v>
      </c>
      <c r="BI25" s="75">
        <v>8.6999999999999994E-3</v>
      </c>
      <c r="BJ25" s="75">
        <v>7.1999999999999998E-3</v>
      </c>
      <c r="BK25" s="75">
        <v>8.0999999999999996E-3</v>
      </c>
      <c r="BL25" s="75"/>
      <c r="BM25" s="75"/>
      <c r="BN25" s="80"/>
      <c r="BO25" s="81"/>
      <c r="BP25" s="82"/>
      <c r="BQ25" s="82"/>
      <c r="BR25" s="82"/>
      <c r="BS25" s="82"/>
      <c r="BT25" s="82"/>
      <c r="BU25" s="82"/>
      <c r="BV25" s="82"/>
      <c r="BW25" s="82"/>
      <c r="BX25" s="82"/>
      <c r="BY25" s="82"/>
      <c r="BZ25" s="82"/>
      <c r="CA25" s="82"/>
      <c r="CB25" s="82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82"/>
      <c r="CP25" s="82"/>
      <c r="CQ25" s="82"/>
      <c r="CR25" s="82"/>
      <c r="CS25" s="82"/>
      <c r="CT25" s="82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2"/>
      <c r="DG25" s="82"/>
      <c r="DH25" s="82"/>
      <c r="DI25" s="82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2"/>
      <c r="DZ25" s="82"/>
      <c r="EA25" s="82"/>
      <c r="EB25" s="82"/>
      <c r="EC25" s="82"/>
      <c r="ED25" s="82"/>
    </row>
    <row r="26" spans="1:134" ht="15" customHeight="1">
      <c r="A26" s="22"/>
      <c r="B26" s="23"/>
      <c r="C26" s="24" t="s">
        <v>98</v>
      </c>
      <c r="D26" s="23" t="s">
        <v>54</v>
      </c>
      <c r="E26" s="23"/>
      <c r="F26" s="25" t="s">
        <v>50</v>
      </c>
      <c r="G26" s="26">
        <v>0</v>
      </c>
      <c r="H26" s="27">
        <v>0.15</v>
      </c>
      <c r="I26" s="27">
        <v>-0.15</v>
      </c>
      <c r="J26" s="39" t="s">
        <v>51</v>
      </c>
      <c r="K26" s="40" t="s">
        <v>52</v>
      </c>
      <c r="L26" s="41">
        <f t="shared" ref="L26:L50" si="29">IF(AND(G26="",H26=""),"",IF(G26="",H26,G26+H26))</f>
        <v>0.15</v>
      </c>
      <c r="M26" s="42">
        <f t="shared" ref="M26:M50" si="30">IF(AND(G26="",I26=""),"",IF(G26="",I26,G26+I26))</f>
        <v>-0.15</v>
      </c>
      <c r="N26" s="45"/>
      <c r="O26" s="44">
        <f t="shared" si="17"/>
        <v>1.9900000000000001E-2</v>
      </c>
      <c r="P26" s="44">
        <f t="shared" si="18"/>
        <v>-9.7000000000000003E-3</v>
      </c>
      <c r="Q26" s="44">
        <f t="shared" si="19"/>
        <v>1.3493103448275862E-2</v>
      </c>
      <c r="R26" s="52">
        <f t="shared" si="20"/>
        <v>5.2106300026609582E-3</v>
      </c>
      <c r="S26" s="53">
        <f t="shared" si="21"/>
        <v>9.5957686449558039</v>
      </c>
      <c r="T26" s="53">
        <f t="shared" si="22"/>
        <v>8.732590651675066</v>
      </c>
      <c r="U26" s="53">
        <f t="shared" si="23"/>
        <v>10.458946638236542</v>
      </c>
      <c r="V26" s="53">
        <f t="shared" si="24"/>
        <v>8.732590651675066</v>
      </c>
      <c r="W26" s="54">
        <f t="shared" si="25"/>
        <v>1</v>
      </c>
      <c r="X26" s="55" t="str">
        <f t="shared" si="26"/>
        <v/>
      </c>
      <c r="Y26" s="55" t="str">
        <f t="shared" si="27"/>
        <v/>
      </c>
      <c r="Z26" s="55">
        <f t="shared" si="28"/>
        <v>-1.3493103448275862E-2</v>
      </c>
      <c r="AA26" s="55" t="str">
        <f t="shared" si="14"/>
        <v/>
      </c>
      <c r="AB26" s="61"/>
      <c r="AC26" s="62"/>
      <c r="AD26" s="63"/>
      <c r="AE26" s="64"/>
      <c r="AF26" s="64"/>
      <c r="AG26" s="73"/>
      <c r="AH26" s="74"/>
      <c r="AI26" s="75">
        <v>1.01E-2</v>
      </c>
      <c r="AJ26" s="75">
        <v>1.3599999999999999E-2</v>
      </c>
      <c r="AK26" s="75">
        <v>1.26E-2</v>
      </c>
      <c r="AL26" s="75">
        <v>1.23E-2</v>
      </c>
      <c r="AM26" s="75">
        <v>9.7999999999999997E-3</v>
      </c>
      <c r="AN26" s="75">
        <v>1.7000000000000001E-2</v>
      </c>
      <c r="AO26" s="75">
        <v>1.6500000000000001E-2</v>
      </c>
      <c r="AP26" s="75">
        <v>8.6E-3</v>
      </c>
      <c r="AQ26" s="75">
        <v>1.43E-2</v>
      </c>
      <c r="AR26" s="75">
        <v>1.1900000000000001E-2</v>
      </c>
      <c r="AS26" s="75">
        <v>1.3100000000000001E-2</v>
      </c>
      <c r="AT26" s="75">
        <v>1.9900000000000001E-2</v>
      </c>
      <c r="AU26" s="75">
        <v>1.37E-2</v>
      </c>
      <c r="AV26" s="75">
        <v>1.2999999999999999E-2</v>
      </c>
      <c r="AW26" s="75">
        <v>-9.7000000000000003E-3</v>
      </c>
      <c r="AX26" s="75">
        <v>1.5900000000000001E-2</v>
      </c>
      <c r="AY26" s="75">
        <v>1.6500000000000001E-2</v>
      </c>
      <c r="AZ26" s="75">
        <v>1.7399999999999999E-2</v>
      </c>
      <c r="BA26" s="75">
        <v>1.7600000000000001E-2</v>
      </c>
      <c r="BB26" s="75">
        <v>1.2699999999999999E-2</v>
      </c>
      <c r="BC26" s="75">
        <v>1.1599999999999999E-2</v>
      </c>
      <c r="BD26" s="75">
        <v>1.7000000000000001E-2</v>
      </c>
      <c r="BE26" s="75">
        <v>1.5599999999999999E-2</v>
      </c>
      <c r="BF26" s="75">
        <v>1.6199999999999999E-2</v>
      </c>
      <c r="BG26" s="75">
        <v>1.2800000000000001E-2</v>
      </c>
      <c r="BH26" s="75">
        <v>1.21E-2</v>
      </c>
      <c r="BI26" s="75">
        <v>1.7500000000000002E-2</v>
      </c>
      <c r="BJ26" s="75">
        <v>1.61E-2</v>
      </c>
      <c r="BK26" s="75">
        <v>1.5599999999999999E-2</v>
      </c>
      <c r="BL26" s="75"/>
      <c r="BM26" s="75"/>
      <c r="BN26" s="80"/>
      <c r="BO26" s="81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2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82"/>
      <c r="CO26" s="82"/>
      <c r="CP26" s="82"/>
      <c r="CQ26" s="82"/>
      <c r="CR26" s="82"/>
      <c r="CS26" s="82"/>
      <c r="CT26" s="82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2"/>
      <c r="DG26" s="82"/>
      <c r="DH26" s="82"/>
      <c r="DI26" s="82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2"/>
      <c r="DZ26" s="82"/>
      <c r="EA26" s="82"/>
      <c r="EB26" s="82"/>
      <c r="EC26" s="82"/>
      <c r="ED26" s="82"/>
    </row>
    <row r="27" spans="1:134" ht="15" customHeight="1">
      <c r="A27" s="22"/>
      <c r="B27" s="23"/>
      <c r="C27" s="24" t="s">
        <v>99</v>
      </c>
      <c r="D27" s="23" t="s">
        <v>54</v>
      </c>
      <c r="E27" s="23"/>
      <c r="F27" s="25" t="s">
        <v>50</v>
      </c>
      <c r="G27" s="26">
        <v>0</v>
      </c>
      <c r="H27" s="27">
        <v>0.15</v>
      </c>
      <c r="I27" s="27">
        <v>-0.15</v>
      </c>
      <c r="J27" s="39" t="s">
        <v>51</v>
      </c>
      <c r="K27" s="40" t="s">
        <v>52</v>
      </c>
      <c r="L27" s="41">
        <f t="shared" si="29"/>
        <v>0.15</v>
      </c>
      <c r="M27" s="42">
        <f t="shared" si="30"/>
        <v>-0.15</v>
      </c>
      <c r="N27" s="45"/>
      <c r="O27" s="44">
        <f t="shared" si="17"/>
        <v>2.0000000000000001E-4</v>
      </c>
      <c r="P27" s="44">
        <f t="shared" si="18"/>
        <v>-2.2700000000000001E-2</v>
      </c>
      <c r="Q27" s="44">
        <f t="shared" si="19"/>
        <v>-4.4206896551724139E-3</v>
      </c>
      <c r="R27" s="52">
        <f t="shared" si="20"/>
        <v>3.8538829501041471E-3</v>
      </c>
      <c r="S27" s="53">
        <f t="shared" si="21"/>
        <v>12.973928022035231</v>
      </c>
      <c r="T27" s="53">
        <f t="shared" si="22"/>
        <v>13.356286084661649</v>
      </c>
      <c r="U27" s="53">
        <f t="shared" si="23"/>
        <v>12.591569959408814</v>
      </c>
      <c r="V27" s="53">
        <f t="shared" si="24"/>
        <v>12.591569959408814</v>
      </c>
      <c r="W27" s="54">
        <f t="shared" si="25"/>
        <v>1</v>
      </c>
      <c r="X27" s="55" t="str">
        <f t="shared" si="26"/>
        <v/>
      </c>
      <c r="Y27" s="55" t="str">
        <f t="shared" si="27"/>
        <v/>
      </c>
      <c r="Z27" s="55">
        <f t="shared" si="28"/>
        <v>4.4206896551724139E-3</v>
      </c>
      <c r="AA27" s="55" t="str">
        <f t="shared" si="14"/>
        <v/>
      </c>
      <c r="AB27" s="61"/>
      <c r="AC27" s="62"/>
      <c r="AD27" s="63"/>
      <c r="AE27" s="64"/>
      <c r="AF27" s="64"/>
      <c r="AG27" s="73"/>
      <c r="AH27" s="74"/>
      <c r="AI27" s="75">
        <v>-5.3E-3</v>
      </c>
      <c r="AJ27" s="75">
        <v>-2.8E-3</v>
      </c>
      <c r="AK27" s="75">
        <v>-2.5999999999999999E-3</v>
      </c>
      <c r="AL27" s="75">
        <v>-3.8E-3</v>
      </c>
      <c r="AM27" s="75">
        <v>-3.5999999999999999E-3</v>
      </c>
      <c r="AN27" s="75">
        <v>-7.7000000000000002E-3</v>
      </c>
      <c r="AO27" s="75">
        <v>-5.1000000000000004E-3</v>
      </c>
      <c r="AP27" s="75">
        <v>-3.8E-3</v>
      </c>
      <c r="AQ27" s="75">
        <v>-2.0999999999999999E-3</v>
      </c>
      <c r="AR27" s="75">
        <v>-1.8E-3</v>
      </c>
      <c r="AS27" s="75">
        <v>-5.1999999999999998E-3</v>
      </c>
      <c r="AT27" s="75">
        <v>-3.7000000000000002E-3</v>
      </c>
      <c r="AU27" s="75">
        <v>2.0000000000000001E-4</v>
      </c>
      <c r="AV27" s="75">
        <v>-5.0000000000000001E-3</v>
      </c>
      <c r="AW27" s="75">
        <v>-2.2700000000000001E-2</v>
      </c>
      <c r="AX27" s="75">
        <v>-5.1000000000000004E-3</v>
      </c>
      <c r="AY27" s="75">
        <v>-2.2000000000000001E-3</v>
      </c>
      <c r="AZ27" s="75">
        <v>-3.2000000000000002E-3</v>
      </c>
      <c r="BA27" s="75">
        <v>-3.3999999999999998E-3</v>
      </c>
      <c r="BB27" s="75">
        <v>-5.3E-3</v>
      </c>
      <c r="BC27" s="75">
        <v>-1.8E-3</v>
      </c>
      <c r="BD27" s="75">
        <v>-5.4000000000000003E-3</v>
      </c>
      <c r="BE27" s="75">
        <v>-4.4999999999999997E-3</v>
      </c>
      <c r="BF27" s="75">
        <v>-3.3999999999999998E-3</v>
      </c>
      <c r="BG27" s="75">
        <v>-4.5999999999999999E-3</v>
      </c>
      <c r="BH27" s="75">
        <v>-1.5E-3</v>
      </c>
      <c r="BI27" s="75">
        <v>-5.1000000000000004E-3</v>
      </c>
      <c r="BJ27" s="75">
        <v>-4.0000000000000001E-3</v>
      </c>
      <c r="BK27" s="75">
        <v>-3.7000000000000002E-3</v>
      </c>
      <c r="BL27" s="75"/>
      <c r="BM27" s="75"/>
      <c r="BN27" s="80"/>
      <c r="BO27" s="81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2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82"/>
      <c r="CP27" s="82"/>
      <c r="CQ27" s="82"/>
      <c r="CR27" s="82"/>
      <c r="CS27" s="82"/>
      <c r="CT27" s="82"/>
      <c r="CU27" s="82"/>
      <c r="CV27" s="82"/>
      <c r="CW27" s="82"/>
      <c r="CX27" s="82"/>
      <c r="CY27" s="82"/>
      <c r="CZ27" s="82"/>
      <c r="DA27" s="82"/>
      <c r="DB27" s="82"/>
      <c r="DC27" s="82"/>
      <c r="DD27" s="82"/>
      <c r="DE27" s="82"/>
      <c r="DF27" s="82"/>
      <c r="DG27" s="82"/>
      <c r="DH27" s="82"/>
      <c r="DI27" s="82"/>
      <c r="DJ27" s="82"/>
      <c r="DK27" s="82"/>
      <c r="DL27" s="82"/>
      <c r="DM27" s="82"/>
      <c r="DN27" s="82"/>
      <c r="DO27" s="82"/>
      <c r="DP27" s="82"/>
      <c r="DQ27" s="82"/>
      <c r="DR27" s="82"/>
      <c r="DS27" s="82"/>
      <c r="DT27" s="82"/>
      <c r="DU27" s="82"/>
      <c r="DV27" s="82"/>
      <c r="DW27" s="82"/>
      <c r="DX27" s="82"/>
      <c r="DY27" s="82"/>
      <c r="DZ27" s="82"/>
      <c r="EA27" s="82"/>
      <c r="EB27" s="82"/>
      <c r="EC27" s="82"/>
      <c r="ED27" s="82"/>
    </row>
    <row r="28" spans="1:134" ht="15" customHeight="1">
      <c r="A28" s="22"/>
      <c r="B28" s="23" t="s">
        <v>49</v>
      </c>
      <c r="C28" s="24" t="s">
        <v>100</v>
      </c>
      <c r="D28" s="23"/>
      <c r="E28" s="23">
        <v>1.33</v>
      </c>
      <c r="F28" s="25" t="s">
        <v>50</v>
      </c>
      <c r="G28" s="26">
        <v>0.98</v>
      </c>
      <c r="H28" s="27">
        <v>0.03</v>
      </c>
      <c r="I28" s="27">
        <v>-0.03</v>
      </c>
      <c r="J28" s="39" t="s">
        <v>51</v>
      </c>
      <c r="K28" s="40" t="s">
        <v>52</v>
      </c>
      <c r="L28" s="41">
        <f t="shared" si="29"/>
        <v>1.01</v>
      </c>
      <c r="M28" s="42">
        <f t="shared" si="30"/>
        <v>0.95</v>
      </c>
      <c r="N28" s="45"/>
      <c r="O28" s="44">
        <f t="shared" ref="O28:O49" si="31">IF(OR($AI28="",ISNUMBER($AI28)=FALSE),"",MAX(AI28:ED28))</f>
        <v>0.99009999999999998</v>
      </c>
      <c r="P28" s="44">
        <f t="shared" ref="P28:P49" si="32">IF(OR($AI28="",ISNUMBER($AI28)=FALSE),"",MIN(AI28:ED28))</f>
        <v>0.97640000000000005</v>
      </c>
      <c r="Q28" s="44">
        <f t="shared" ref="Q28:Q49" si="33">IF(OR($AI28="",ISNUMBER($AI28)=FALSE),"",AVERAGE(AI28:ED28))</f>
        <v>0.98457931034482737</v>
      </c>
      <c r="R28" s="52">
        <f t="shared" ref="R28:R49" si="34">IF(OR($AI28="",ISNUMBER($AI28)=FALSE),"",STDEV(AI28:ED28))</f>
        <v>3.5246458089881446E-3</v>
      </c>
      <c r="S28" s="53">
        <f t="shared" ref="S28:S49" si="35">IF(OR($AI28="",ISNUMBER($AI28)=FALSE),"",IF(AND(G28=0,I28=0),T28,IF(AND(G28="",H28=""),U28,(H28+ABS(I28))/(6*R28))))</f>
        <v>2.8371645101187624</v>
      </c>
      <c r="T28" s="53">
        <f t="shared" ref="T28:T49" si="36">IF(OR($AI28="",ISNUMBER($AI28)=FALSE),"",IF(H28="","",(L28-Q28)/(3*R28)))</f>
        <v>2.4040892837466323</v>
      </c>
      <c r="U28" s="53">
        <f t="shared" ref="U28:U49" si="37">IF(OR($AI28="",ISNUMBER($AI28)=FALSE),"",IF(I28="","",(Q28-M28)/(3*R28)))</f>
        <v>3.2702397364908982</v>
      </c>
      <c r="V28" s="53">
        <f t="shared" ref="V28:V49" si="38">IF(OR($AI28="",ISNUMBER($AI28)=FALSE),"",IF(AND(G28=0,I28=0),((H28)-(Q28))/(3*R28),MIN(T28:U28)))</f>
        <v>2.4040892837466323</v>
      </c>
      <c r="W28" s="54">
        <f t="shared" ref="W28:W49" si="39">IF(OR($AI28="",ISNUMBER($AI28)=FALSE),"",IF(AND(G28=0,I28=0),NORMSDIST(3*V28),NORMSDIST(3*V28)+NORMSDIST(6*S28-3*V28)-1))</f>
        <v>0.99999999999972489</v>
      </c>
      <c r="X28" s="55" t="str">
        <f t="shared" ref="X28:X49" si="40">IF($Q28="","",IF(F28="Tolerance",IF(($E28*3*R28+Q28)-G28&lt;H28,"",($E28*3*R28+Q28)-G28),IF(OR(F28="GD&amp;T",F28="MAX"),IF(($E28*3*R28+Q28)&lt;H28,"",($E28*3*R28+Q28)),"")))</f>
        <v/>
      </c>
      <c r="Y28" s="55" t="str">
        <f t="shared" ref="Y28:Y49" si="41">IF(Q28="","",IF(F28="Tolerance",IF(-(($E28*3*R28)-Q28)-G28&gt;I28,"",-(($E28*3*R28)-Q28)-G28),IF(F28="MIN",IF(-(($E28*3*R28)-Q28)&gt;I28,"",-(($E28*3*R28)-Q28)),"")))</f>
        <v/>
      </c>
      <c r="Z28" s="55">
        <f t="shared" ref="Z28:Z49" si="42">IF(OR(G28="",Q28=""),"",(L28+M28)/2-Q28)</f>
        <v>-4.579310344827392E-3</v>
      </c>
      <c r="AA28" s="55" t="str">
        <f t="shared" ref="AA28:AA48" si="43">IF(OR($S28&gt;$AA$9,$R28=""),"",$AA$9*6*$R28)</f>
        <v/>
      </c>
      <c r="AB28" s="61"/>
      <c r="AC28" s="62"/>
      <c r="AD28" s="63"/>
      <c r="AE28" s="64"/>
      <c r="AF28" s="64"/>
      <c r="AG28" s="73"/>
      <c r="AH28" s="74"/>
      <c r="AI28" s="75">
        <v>0.98529999999999995</v>
      </c>
      <c r="AJ28" s="75">
        <v>0.98680000000000001</v>
      </c>
      <c r="AK28" s="75">
        <v>0.98699999999999999</v>
      </c>
      <c r="AL28" s="75">
        <v>0.98070000000000002</v>
      </c>
      <c r="AM28" s="75">
        <v>0.98529999999999995</v>
      </c>
      <c r="AN28" s="75">
        <v>0.98519999999999996</v>
      </c>
      <c r="AO28" s="75">
        <v>0.98229999999999995</v>
      </c>
      <c r="AP28" s="75">
        <v>0.99009999999999998</v>
      </c>
      <c r="AQ28" s="75">
        <v>0.98260000000000003</v>
      </c>
      <c r="AR28" s="75">
        <v>0.97640000000000005</v>
      </c>
      <c r="AS28" s="75">
        <v>0.98629999999999995</v>
      </c>
      <c r="AT28" s="75">
        <v>0.98399999999999999</v>
      </c>
      <c r="AU28" s="75">
        <v>0.98</v>
      </c>
      <c r="AV28" s="75">
        <v>0.98050000000000004</v>
      </c>
      <c r="AW28" s="75">
        <v>0.97729999999999995</v>
      </c>
      <c r="AX28" s="75">
        <v>0.98880000000000001</v>
      </c>
      <c r="AY28" s="75">
        <v>0.98799999999999999</v>
      </c>
      <c r="AZ28" s="75">
        <v>0.98319999999999996</v>
      </c>
      <c r="BA28" s="75">
        <v>0.98699999999999999</v>
      </c>
      <c r="BB28" s="75">
        <v>0.9869</v>
      </c>
      <c r="BC28" s="75">
        <v>0.98670000000000002</v>
      </c>
      <c r="BD28" s="75">
        <v>0.98709999999999998</v>
      </c>
      <c r="BE28" s="75">
        <v>0.98240000000000005</v>
      </c>
      <c r="BF28" s="75">
        <v>0.98629999999999995</v>
      </c>
      <c r="BG28" s="75">
        <v>0.97909999999999997</v>
      </c>
      <c r="BH28" s="75">
        <v>0.98529999999999995</v>
      </c>
      <c r="BI28" s="75">
        <v>0.98599999999999999</v>
      </c>
      <c r="BJ28" s="75">
        <v>0.98899999999999999</v>
      </c>
      <c r="BK28" s="75">
        <v>0.98719999999999997</v>
      </c>
      <c r="BL28" s="75"/>
      <c r="BM28" s="75"/>
      <c r="BN28" s="80"/>
      <c r="BO28" s="81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  <c r="CT28" s="82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2"/>
      <c r="DG28" s="82"/>
      <c r="DH28" s="82"/>
      <c r="DI28" s="82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2"/>
      <c r="DZ28" s="82"/>
      <c r="EA28" s="82"/>
      <c r="EB28" s="82"/>
      <c r="EC28" s="82"/>
      <c r="ED28" s="82"/>
    </row>
    <row r="29" spans="1:134" ht="15" customHeight="1">
      <c r="A29" s="22"/>
      <c r="B29" s="23"/>
      <c r="C29" s="24" t="s">
        <v>101</v>
      </c>
      <c r="D29" s="23" t="s">
        <v>54</v>
      </c>
      <c r="E29" s="23"/>
      <c r="F29" s="25" t="s">
        <v>50</v>
      </c>
      <c r="G29" s="26">
        <v>0.98</v>
      </c>
      <c r="H29" s="27">
        <v>0.15</v>
      </c>
      <c r="I29" s="27">
        <v>-0.15</v>
      </c>
      <c r="J29" s="39" t="s">
        <v>51</v>
      </c>
      <c r="K29" s="40" t="s">
        <v>52</v>
      </c>
      <c r="L29" s="41">
        <f t="shared" si="29"/>
        <v>1.1299999999999999</v>
      </c>
      <c r="M29" s="42">
        <f t="shared" si="30"/>
        <v>0.83</v>
      </c>
      <c r="N29" s="45"/>
      <c r="O29" s="44">
        <f t="shared" si="31"/>
        <v>0.98719999999999997</v>
      </c>
      <c r="P29" s="44">
        <f t="shared" si="32"/>
        <v>0.96499999999999997</v>
      </c>
      <c r="Q29" s="44">
        <f t="shared" si="33"/>
        <v>0.97521034482758628</v>
      </c>
      <c r="R29" s="52">
        <f t="shared" si="34"/>
        <v>5.1364485248346255E-3</v>
      </c>
      <c r="S29" s="53">
        <f t="shared" si="35"/>
        <v>9.7343523950938096</v>
      </c>
      <c r="T29" s="53">
        <f t="shared" si="36"/>
        <v>10.045180337088862</v>
      </c>
      <c r="U29" s="53">
        <f t="shared" si="37"/>
        <v>9.4235244530987519</v>
      </c>
      <c r="V29" s="53">
        <f t="shared" si="38"/>
        <v>9.4235244530987519</v>
      </c>
      <c r="W29" s="54">
        <f t="shared" si="39"/>
        <v>1</v>
      </c>
      <c r="X29" s="55" t="str">
        <f t="shared" si="40"/>
        <v/>
      </c>
      <c r="Y29" s="55" t="str">
        <f t="shared" si="41"/>
        <v/>
      </c>
      <c r="Z29" s="55">
        <f t="shared" si="42"/>
        <v>4.7896551724136982E-3</v>
      </c>
      <c r="AA29" s="55" t="str">
        <f t="shared" si="43"/>
        <v/>
      </c>
      <c r="AB29" s="61"/>
      <c r="AC29" s="62"/>
      <c r="AD29" s="63"/>
      <c r="AE29" s="64"/>
      <c r="AF29" s="64"/>
      <c r="AG29" s="73"/>
      <c r="AH29" s="74"/>
      <c r="AI29" s="75">
        <v>0.97489999999999999</v>
      </c>
      <c r="AJ29" s="75">
        <v>0.97989999999999999</v>
      </c>
      <c r="AK29" s="75">
        <v>0.97929999999999995</v>
      </c>
      <c r="AL29" s="75">
        <v>0.96540000000000004</v>
      </c>
      <c r="AM29" s="75">
        <v>0.97770000000000001</v>
      </c>
      <c r="AN29" s="75">
        <v>0.97389999999999999</v>
      </c>
      <c r="AO29" s="75">
        <v>0.96899999999999997</v>
      </c>
      <c r="AP29" s="75">
        <v>0.97689999999999999</v>
      </c>
      <c r="AQ29" s="75">
        <v>0.97499999999999998</v>
      </c>
      <c r="AR29" s="75">
        <v>0.97230000000000005</v>
      </c>
      <c r="AS29" s="75">
        <v>0.97089999999999999</v>
      </c>
      <c r="AT29" s="75">
        <v>0.97219999999999995</v>
      </c>
      <c r="AU29" s="75">
        <v>0.96809999999999996</v>
      </c>
      <c r="AV29" s="75">
        <v>0.97789999999999999</v>
      </c>
      <c r="AW29" s="75">
        <v>0.96499999999999997</v>
      </c>
      <c r="AX29" s="75">
        <v>0.98719999999999997</v>
      </c>
      <c r="AY29" s="75">
        <v>0.97589999999999999</v>
      </c>
      <c r="AZ29" s="75">
        <v>0.97250000000000003</v>
      </c>
      <c r="BA29" s="75">
        <v>0.98180000000000001</v>
      </c>
      <c r="BB29" s="75">
        <v>0.9768</v>
      </c>
      <c r="BC29" s="75">
        <v>0.98019999999999996</v>
      </c>
      <c r="BD29" s="75">
        <v>0.97389999999999999</v>
      </c>
      <c r="BE29" s="75">
        <v>0.97450000000000003</v>
      </c>
      <c r="BF29" s="75">
        <v>0.97350000000000003</v>
      </c>
      <c r="BG29" s="75">
        <v>0.98199999999999998</v>
      </c>
      <c r="BH29" s="75">
        <v>0.96899999999999997</v>
      </c>
      <c r="BI29" s="75">
        <v>0.98129999999999995</v>
      </c>
      <c r="BJ29" s="75">
        <v>0.97689999999999999</v>
      </c>
      <c r="BK29" s="75">
        <v>0.97719999999999996</v>
      </c>
      <c r="BL29" s="75"/>
      <c r="BM29" s="75"/>
      <c r="BN29" s="80"/>
      <c r="BO29" s="81"/>
      <c r="BP29" s="82"/>
      <c r="BQ29" s="82"/>
      <c r="BR29" s="82"/>
      <c r="BS29" s="82"/>
      <c r="BT29" s="82"/>
      <c r="BU29" s="82"/>
      <c r="BV29" s="82"/>
      <c r="BW29" s="82"/>
      <c r="BX29" s="82"/>
      <c r="BY29" s="82"/>
      <c r="BZ29" s="82"/>
      <c r="CA29" s="82"/>
      <c r="CB29" s="82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82"/>
      <c r="CP29" s="82"/>
      <c r="CQ29" s="82"/>
      <c r="CR29" s="82"/>
      <c r="CS29" s="82"/>
      <c r="CT29" s="82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2"/>
      <c r="DG29" s="82"/>
      <c r="DH29" s="82"/>
      <c r="DI29" s="82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2"/>
      <c r="DZ29" s="82"/>
      <c r="EA29" s="82"/>
      <c r="EB29" s="82"/>
      <c r="EC29" s="82"/>
      <c r="ED29" s="82"/>
    </row>
    <row r="30" spans="1:134" ht="15" customHeight="1">
      <c r="A30" s="28"/>
      <c r="B30" s="23"/>
      <c r="C30" s="24" t="s">
        <v>102</v>
      </c>
      <c r="D30" s="23" t="s">
        <v>54</v>
      </c>
      <c r="E30" s="23"/>
      <c r="F30" s="25" t="s">
        <v>50</v>
      </c>
      <c r="G30" s="26">
        <v>0.98</v>
      </c>
      <c r="H30" s="27">
        <v>0.15</v>
      </c>
      <c r="I30" s="27">
        <v>-0.15</v>
      </c>
      <c r="J30" s="39" t="s">
        <v>51</v>
      </c>
      <c r="K30" s="40" t="s">
        <v>52</v>
      </c>
      <c r="L30" s="41">
        <f t="shared" si="29"/>
        <v>1.1299999999999999</v>
      </c>
      <c r="M30" s="42">
        <f t="shared" si="30"/>
        <v>0.83</v>
      </c>
      <c r="N30" s="45"/>
      <c r="O30" s="44">
        <f t="shared" si="31"/>
        <v>0.98640000000000005</v>
      </c>
      <c r="P30" s="44">
        <f t="shared" si="32"/>
        <v>0.96250000000000002</v>
      </c>
      <c r="Q30" s="44">
        <f t="shared" si="33"/>
        <v>0.97426551724137911</v>
      </c>
      <c r="R30" s="52">
        <f t="shared" si="34"/>
        <v>5.8942633043899484E-3</v>
      </c>
      <c r="S30" s="53">
        <f t="shared" si="35"/>
        <v>8.482824301853098</v>
      </c>
      <c r="T30" s="53">
        <f t="shared" si="36"/>
        <v>8.8071216998756707</v>
      </c>
      <c r="U30" s="53">
        <f t="shared" si="37"/>
        <v>8.1585269038305199</v>
      </c>
      <c r="V30" s="53">
        <f t="shared" si="38"/>
        <v>8.1585269038305199</v>
      </c>
      <c r="W30" s="54">
        <f t="shared" si="39"/>
        <v>1</v>
      </c>
      <c r="X30" s="55" t="str">
        <f t="shared" si="40"/>
        <v/>
      </c>
      <c r="Y30" s="55" t="str">
        <f t="shared" si="41"/>
        <v/>
      </c>
      <c r="Z30" s="55">
        <f t="shared" si="42"/>
        <v>5.7344827586208735E-3</v>
      </c>
      <c r="AA30" s="55" t="str">
        <f t="shared" si="43"/>
        <v/>
      </c>
      <c r="AB30" s="61"/>
      <c r="AC30" s="62"/>
      <c r="AD30" s="63"/>
      <c r="AE30" s="64"/>
      <c r="AF30" s="64"/>
      <c r="AG30" s="73"/>
      <c r="AH30" s="74"/>
      <c r="AI30" s="75">
        <v>0.97240000000000004</v>
      </c>
      <c r="AJ30" s="75">
        <v>0.96819999999999995</v>
      </c>
      <c r="AK30" s="75">
        <v>0.97589999999999999</v>
      </c>
      <c r="AL30" s="75">
        <v>0.96519999999999995</v>
      </c>
      <c r="AM30" s="75">
        <v>0.98150000000000004</v>
      </c>
      <c r="AN30" s="75">
        <v>0.97619999999999996</v>
      </c>
      <c r="AO30" s="75">
        <v>0.96950000000000003</v>
      </c>
      <c r="AP30" s="75">
        <v>0.98180000000000001</v>
      </c>
      <c r="AQ30" s="75">
        <v>0.9798</v>
      </c>
      <c r="AR30" s="75">
        <v>0.96779999999999999</v>
      </c>
      <c r="AS30" s="75">
        <v>0.97609999999999997</v>
      </c>
      <c r="AT30" s="75">
        <v>0.96560000000000001</v>
      </c>
      <c r="AU30" s="75">
        <v>0.96579999999999999</v>
      </c>
      <c r="AV30" s="75">
        <v>0.97270000000000001</v>
      </c>
      <c r="AW30" s="75">
        <v>0.96250000000000002</v>
      </c>
      <c r="AX30" s="75">
        <v>0.9738</v>
      </c>
      <c r="AY30" s="75">
        <v>0.98640000000000005</v>
      </c>
      <c r="AZ30" s="75">
        <v>0.97699999999999998</v>
      </c>
      <c r="BA30" s="75">
        <v>0.98280000000000001</v>
      </c>
      <c r="BB30" s="75">
        <v>0.97540000000000004</v>
      </c>
      <c r="BC30" s="75">
        <v>0.97899999999999998</v>
      </c>
      <c r="BD30" s="75">
        <v>0.9778</v>
      </c>
      <c r="BE30" s="75">
        <v>0.97850000000000004</v>
      </c>
      <c r="BF30" s="75">
        <v>0.97629999999999995</v>
      </c>
      <c r="BG30" s="75">
        <v>0.9728</v>
      </c>
      <c r="BH30" s="75">
        <v>0.97219999999999995</v>
      </c>
      <c r="BI30" s="75">
        <v>0.97289999999999999</v>
      </c>
      <c r="BJ30" s="75">
        <v>0.97909999999999997</v>
      </c>
      <c r="BK30" s="75">
        <v>0.96870000000000001</v>
      </c>
      <c r="BL30" s="75"/>
      <c r="BM30" s="75"/>
      <c r="BN30" s="80"/>
      <c r="BO30" s="81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2"/>
      <c r="DG30" s="82"/>
      <c r="DH30" s="82"/>
      <c r="DI30" s="82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2"/>
      <c r="DZ30" s="82"/>
      <c r="EA30" s="82"/>
      <c r="EB30" s="82"/>
      <c r="EC30" s="82"/>
      <c r="ED30" s="82"/>
    </row>
    <row r="31" spans="1:134" ht="15" customHeight="1">
      <c r="A31" s="22"/>
      <c r="B31" s="23"/>
      <c r="C31" s="24" t="s">
        <v>103</v>
      </c>
      <c r="D31" s="23" t="s">
        <v>54</v>
      </c>
      <c r="E31" s="23"/>
      <c r="F31" s="25" t="s">
        <v>50</v>
      </c>
      <c r="G31" s="26">
        <v>0.98</v>
      </c>
      <c r="H31" s="27">
        <v>0.15</v>
      </c>
      <c r="I31" s="27">
        <v>-0.15</v>
      </c>
      <c r="J31" s="39" t="s">
        <v>51</v>
      </c>
      <c r="K31" s="40" t="s">
        <v>52</v>
      </c>
      <c r="L31" s="41">
        <f t="shared" si="29"/>
        <v>1.1299999999999999</v>
      </c>
      <c r="M31" s="42">
        <f t="shared" si="30"/>
        <v>0.83</v>
      </c>
      <c r="N31" s="45"/>
      <c r="O31" s="44">
        <f t="shared" si="31"/>
        <v>0.99450000000000005</v>
      </c>
      <c r="P31" s="44">
        <f t="shared" si="32"/>
        <v>0.97289999999999999</v>
      </c>
      <c r="Q31" s="44">
        <f t="shared" si="33"/>
        <v>0.98469655172413795</v>
      </c>
      <c r="R31" s="52">
        <f t="shared" si="34"/>
        <v>4.9856567670683869E-3</v>
      </c>
      <c r="S31" s="53">
        <f t="shared" si="35"/>
        <v>10.028768993939481</v>
      </c>
      <c r="T31" s="53">
        <f t="shared" si="36"/>
        <v>9.7147647785430244</v>
      </c>
      <c r="U31" s="53">
        <f t="shared" si="37"/>
        <v>10.342773209335936</v>
      </c>
      <c r="V31" s="53">
        <f t="shared" si="38"/>
        <v>9.7147647785430244</v>
      </c>
      <c r="W31" s="54">
        <f t="shared" si="39"/>
        <v>1</v>
      </c>
      <c r="X31" s="55" t="str">
        <f t="shared" si="40"/>
        <v/>
      </c>
      <c r="Y31" s="55" t="str">
        <f t="shared" si="41"/>
        <v/>
      </c>
      <c r="Z31" s="55">
        <f t="shared" si="42"/>
        <v>-4.6965517241379651E-3</v>
      </c>
      <c r="AA31" s="55" t="str">
        <f t="shared" si="43"/>
        <v/>
      </c>
      <c r="AB31" s="61"/>
      <c r="AC31" s="62"/>
      <c r="AD31" s="63"/>
      <c r="AE31" s="64"/>
      <c r="AF31" s="64"/>
      <c r="AG31" s="73"/>
      <c r="AH31" s="74"/>
      <c r="AI31" s="75">
        <v>0.9819</v>
      </c>
      <c r="AJ31" s="75">
        <v>0.98080000000000001</v>
      </c>
      <c r="AK31" s="75">
        <v>0.98399999999999999</v>
      </c>
      <c r="AL31" s="75">
        <v>0.98260000000000003</v>
      </c>
      <c r="AM31" s="75">
        <v>0.98719999999999997</v>
      </c>
      <c r="AN31" s="75">
        <v>0.98950000000000005</v>
      </c>
      <c r="AO31" s="75">
        <v>0.98409999999999997</v>
      </c>
      <c r="AP31" s="75">
        <v>0.98729999999999996</v>
      </c>
      <c r="AQ31" s="75">
        <v>0.98640000000000005</v>
      </c>
      <c r="AR31" s="75">
        <v>0.98319999999999996</v>
      </c>
      <c r="AS31" s="75">
        <v>0.98880000000000001</v>
      </c>
      <c r="AT31" s="75">
        <v>0.9839</v>
      </c>
      <c r="AU31" s="75">
        <v>0.97760000000000002</v>
      </c>
      <c r="AV31" s="75">
        <v>0.97729999999999995</v>
      </c>
      <c r="AW31" s="75">
        <v>0.98</v>
      </c>
      <c r="AX31" s="75">
        <v>0.97840000000000005</v>
      </c>
      <c r="AY31" s="75">
        <v>0.99450000000000005</v>
      </c>
      <c r="AZ31" s="75">
        <v>0.99039999999999995</v>
      </c>
      <c r="BA31" s="75">
        <v>0.98740000000000006</v>
      </c>
      <c r="BB31" s="75">
        <v>0.98819999999999997</v>
      </c>
      <c r="BC31" s="75">
        <v>0.98640000000000005</v>
      </c>
      <c r="BD31" s="75">
        <v>0.99299999999999999</v>
      </c>
      <c r="BE31" s="75">
        <v>0.98519999999999996</v>
      </c>
      <c r="BF31" s="75">
        <v>0.9899</v>
      </c>
      <c r="BG31" s="75">
        <v>0.97289999999999999</v>
      </c>
      <c r="BH31" s="75">
        <v>0.98480000000000001</v>
      </c>
      <c r="BI31" s="75">
        <v>0.97950000000000004</v>
      </c>
      <c r="BJ31" s="75">
        <v>0.98919999999999997</v>
      </c>
      <c r="BK31" s="75">
        <v>0.98180000000000001</v>
      </c>
      <c r="BL31" s="75"/>
      <c r="BM31" s="75"/>
      <c r="BN31" s="80"/>
      <c r="BO31" s="81"/>
      <c r="BP31" s="82"/>
      <c r="BQ31" s="82"/>
      <c r="BR31" s="82"/>
      <c r="BS31" s="82"/>
      <c r="BT31" s="82"/>
      <c r="BU31" s="82"/>
      <c r="BV31" s="82"/>
      <c r="BW31" s="82"/>
      <c r="BX31" s="82"/>
      <c r="BY31" s="82"/>
      <c r="BZ31" s="82"/>
      <c r="CA31" s="82"/>
      <c r="CB31" s="82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82"/>
      <c r="CP31" s="82"/>
      <c r="CQ31" s="82"/>
      <c r="CR31" s="82"/>
      <c r="CS31" s="82"/>
      <c r="CT31" s="82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2"/>
      <c r="DG31" s="82"/>
      <c r="DH31" s="82"/>
      <c r="DI31" s="82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2"/>
      <c r="DZ31" s="82"/>
      <c r="EA31" s="82"/>
      <c r="EB31" s="82"/>
      <c r="EC31" s="82"/>
      <c r="ED31" s="82"/>
    </row>
    <row r="32" spans="1:134" ht="15" customHeight="1">
      <c r="A32" s="22"/>
      <c r="B32" s="23"/>
      <c r="C32" s="24" t="s">
        <v>104</v>
      </c>
      <c r="D32" s="23" t="s">
        <v>54</v>
      </c>
      <c r="E32" s="23"/>
      <c r="F32" s="25" t="s">
        <v>50</v>
      </c>
      <c r="G32" s="26">
        <v>0.98</v>
      </c>
      <c r="H32" s="27">
        <v>0.15</v>
      </c>
      <c r="I32" s="27">
        <v>-0.15</v>
      </c>
      <c r="J32" s="39" t="s">
        <v>51</v>
      </c>
      <c r="K32" s="40" t="s">
        <v>52</v>
      </c>
      <c r="L32" s="41">
        <f t="shared" si="29"/>
        <v>1.1299999999999999</v>
      </c>
      <c r="M32" s="42">
        <f t="shared" si="30"/>
        <v>0.83</v>
      </c>
      <c r="N32" s="45"/>
      <c r="O32" s="44">
        <f t="shared" si="31"/>
        <v>1.0008999999999999</v>
      </c>
      <c r="P32" s="44">
        <f t="shared" si="32"/>
        <v>0.97570000000000001</v>
      </c>
      <c r="Q32" s="44">
        <f t="shared" si="33"/>
        <v>0.99247586206896554</v>
      </c>
      <c r="R32" s="52">
        <f t="shared" si="34"/>
        <v>6.1882755024789534E-3</v>
      </c>
      <c r="S32" s="53">
        <f t="shared" si="35"/>
        <v>8.0797954098796279</v>
      </c>
      <c r="T32" s="53">
        <f t="shared" si="36"/>
        <v>7.4077793226854958</v>
      </c>
      <c r="U32" s="53">
        <f t="shared" si="37"/>
        <v>8.7518114970737582</v>
      </c>
      <c r="V32" s="53">
        <f t="shared" si="38"/>
        <v>7.4077793226854958</v>
      </c>
      <c r="W32" s="54">
        <f t="shared" si="39"/>
        <v>1</v>
      </c>
      <c r="X32" s="55" t="str">
        <f t="shared" si="40"/>
        <v/>
      </c>
      <c r="Y32" s="55" t="str">
        <f t="shared" si="41"/>
        <v/>
      </c>
      <c r="Z32" s="55">
        <f t="shared" si="42"/>
        <v>-1.247586206896556E-2</v>
      </c>
      <c r="AA32" s="55" t="str">
        <f t="shared" si="43"/>
        <v/>
      </c>
      <c r="AB32" s="61"/>
      <c r="AC32" s="62"/>
      <c r="AD32" s="63"/>
      <c r="AE32" s="64"/>
      <c r="AF32" s="64"/>
      <c r="AG32" s="73"/>
      <c r="AH32" s="74"/>
      <c r="AI32" s="75">
        <v>0.99760000000000004</v>
      </c>
      <c r="AJ32" s="75">
        <v>0.99029999999999996</v>
      </c>
      <c r="AK32" s="75">
        <v>0.99490000000000001</v>
      </c>
      <c r="AL32" s="75">
        <v>0.99250000000000005</v>
      </c>
      <c r="AM32" s="75">
        <v>0.99150000000000005</v>
      </c>
      <c r="AN32" s="75">
        <v>0.99580000000000002</v>
      </c>
      <c r="AO32" s="75">
        <v>0.99080000000000001</v>
      </c>
      <c r="AP32" s="75">
        <v>0.99829999999999997</v>
      </c>
      <c r="AQ32" s="75">
        <v>0.99050000000000005</v>
      </c>
      <c r="AR32" s="75">
        <v>0.97870000000000001</v>
      </c>
      <c r="AS32" s="75">
        <v>1.0001</v>
      </c>
      <c r="AT32" s="75">
        <v>0.99509999999999998</v>
      </c>
      <c r="AU32" s="75">
        <v>0.98870000000000002</v>
      </c>
      <c r="AV32" s="75">
        <v>0.98250000000000004</v>
      </c>
      <c r="AW32" s="75">
        <v>0.98860000000000003</v>
      </c>
      <c r="AX32" s="75">
        <v>0.99060000000000004</v>
      </c>
      <c r="AY32" s="75">
        <v>0.99919999999999998</v>
      </c>
      <c r="AZ32" s="75">
        <v>0.99219999999999997</v>
      </c>
      <c r="BA32" s="75">
        <v>0.99050000000000005</v>
      </c>
      <c r="BB32" s="75">
        <v>0.99470000000000003</v>
      </c>
      <c r="BC32" s="75">
        <v>0.99139999999999995</v>
      </c>
      <c r="BD32" s="75">
        <v>0.99950000000000006</v>
      </c>
      <c r="BE32" s="75">
        <v>0.98819999999999997</v>
      </c>
      <c r="BF32" s="75">
        <v>0.99890000000000001</v>
      </c>
      <c r="BG32" s="75">
        <v>0.97570000000000001</v>
      </c>
      <c r="BH32" s="75">
        <v>1.0008999999999999</v>
      </c>
      <c r="BI32" s="75">
        <v>0.98929999999999996</v>
      </c>
      <c r="BJ32" s="75">
        <v>1.0005999999999999</v>
      </c>
      <c r="BK32" s="75">
        <v>0.99419999999999997</v>
      </c>
      <c r="BL32" s="75"/>
      <c r="BM32" s="75"/>
      <c r="BN32" s="80"/>
      <c r="BO32" s="81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2"/>
      <c r="DG32" s="82"/>
      <c r="DH32" s="82"/>
      <c r="DI32" s="82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2"/>
      <c r="DZ32" s="82"/>
      <c r="EA32" s="82"/>
      <c r="EB32" s="82"/>
      <c r="EC32" s="82"/>
      <c r="ED32" s="82"/>
    </row>
    <row r="33" spans="1:134" ht="15" customHeight="1">
      <c r="A33" s="22"/>
      <c r="B33" s="23"/>
      <c r="C33" s="24" t="s">
        <v>105</v>
      </c>
      <c r="D33" s="23" t="s">
        <v>54</v>
      </c>
      <c r="E33" s="23"/>
      <c r="F33" s="25" t="s">
        <v>50</v>
      </c>
      <c r="G33" s="26">
        <v>0.98</v>
      </c>
      <c r="H33" s="27">
        <v>0.15</v>
      </c>
      <c r="I33" s="27">
        <v>-0.15</v>
      </c>
      <c r="J33" s="39" t="s">
        <v>51</v>
      </c>
      <c r="K33" s="40" t="s">
        <v>52</v>
      </c>
      <c r="L33" s="41">
        <f t="shared" si="29"/>
        <v>1.1299999999999999</v>
      </c>
      <c r="M33" s="42">
        <f t="shared" si="30"/>
        <v>0.83</v>
      </c>
      <c r="N33" s="45"/>
      <c r="O33" s="44">
        <f t="shared" si="31"/>
        <v>1.0031000000000001</v>
      </c>
      <c r="P33" s="44">
        <f t="shared" si="32"/>
        <v>0.97640000000000005</v>
      </c>
      <c r="Q33" s="44">
        <f t="shared" si="33"/>
        <v>0.99291379310344841</v>
      </c>
      <c r="R33" s="52">
        <f t="shared" si="34"/>
        <v>6.8841808381831342E-3</v>
      </c>
      <c r="S33" s="53">
        <f t="shared" si="35"/>
        <v>7.2630282636787831</v>
      </c>
      <c r="T33" s="53">
        <f t="shared" si="36"/>
        <v>6.637739968334472</v>
      </c>
      <c r="U33" s="53">
        <f t="shared" si="37"/>
        <v>7.8883165590230915</v>
      </c>
      <c r="V33" s="53">
        <f t="shared" si="38"/>
        <v>6.637739968334472</v>
      </c>
      <c r="W33" s="54">
        <f t="shared" si="39"/>
        <v>1</v>
      </c>
      <c r="X33" s="55" t="str">
        <f t="shared" si="40"/>
        <v/>
      </c>
      <c r="Y33" s="55" t="str">
        <f t="shared" si="41"/>
        <v/>
      </c>
      <c r="Z33" s="55">
        <f t="shared" si="42"/>
        <v>-1.2913793103448423E-2</v>
      </c>
      <c r="AA33" s="55" t="str">
        <f t="shared" si="43"/>
        <v/>
      </c>
      <c r="AB33" s="61"/>
      <c r="AC33" s="62"/>
      <c r="AD33" s="63"/>
      <c r="AE33" s="64"/>
      <c r="AF33" s="64"/>
      <c r="AG33" s="73"/>
      <c r="AH33" s="74"/>
      <c r="AI33" s="75">
        <v>0.99870000000000003</v>
      </c>
      <c r="AJ33" s="75">
        <v>1.0028999999999999</v>
      </c>
      <c r="AK33" s="75">
        <v>0.99880000000000002</v>
      </c>
      <c r="AL33" s="75">
        <v>0.99170000000000003</v>
      </c>
      <c r="AM33" s="75">
        <v>0.98919999999999997</v>
      </c>
      <c r="AN33" s="75">
        <v>0.99050000000000005</v>
      </c>
      <c r="AO33" s="75">
        <v>0.9919</v>
      </c>
      <c r="AP33" s="75">
        <v>1.0031000000000001</v>
      </c>
      <c r="AQ33" s="75">
        <v>0.98270000000000002</v>
      </c>
      <c r="AR33" s="75">
        <v>0.97640000000000005</v>
      </c>
      <c r="AS33" s="75">
        <v>0.99580000000000002</v>
      </c>
      <c r="AT33" s="75">
        <v>1.002</v>
      </c>
      <c r="AU33" s="75">
        <v>0.99319999999999997</v>
      </c>
      <c r="AV33" s="75">
        <v>0.98650000000000004</v>
      </c>
      <c r="AW33" s="75">
        <v>0.98850000000000005</v>
      </c>
      <c r="AX33" s="75">
        <v>1</v>
      </c>
      <c r="AY33" s="75">
        <v>0.98899999999999999</v>
      </c>
      <c r="AZ33" s="75">
        <v>0.98540000000000005</v>
      </c>
      <c r="BA33" s="75">
        <v>0.99019999999999997</v>
      </c>
      <c r="BB33" s="75">
        <v>0.99580000000000002</v>
      </c>
      <c r="BC33" s="75">
        <v>0.99209999999999998</v>
      </c>
      <c r="BD33" s="75">
        <v>0.99380000000000002</v>
      </c>
      <c r="BE33" s="75">
        <v>0.9829</v>
      </c>
      <c r="BF33" s="75">
        <v>0.99370000000000003</v>
      </c>
      <c r="BG33" s="75">
        <v>0.98309999999999997</v>
      </c>
      <c r="BH33" s="75">
        <v>0.99860000000000004</v>
      </c>
      <c r="BI33" s="75">
        <v>0.99790000000000001</v>
      </c>
      <c r="BJ33" s="75">
        <v>0.99790000000000001</v>
      </c>
      <c r="BK33" s="75">
        <v>1.0022</v>
      </c>
      <c r="BL33" s="75"/>
      <c r="BM33" s="75"/>
      <c r="BN33" s="80"/>
      <c r="BO33" s="81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2"/>
      <c r="DG33" s="82"/>
      <c r="DH33" s="82"/>
      <c r="DI33" s="82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2"/>
      <c r="DZ33" s="82"/>
      <c r="EA33" s="82"/>
      <c r="EB33" s="82"/>
      <c r="EC33" s="82"/>
      <c r="ED33" s="82"/>
    </row>
    <row r="34" spans="1:134" ht="15" customHeight="1">
      <c r="A34" s="22"/>
      <c r="B34" s="23"/>
      <c r="C34" s="24" t="s">
        <v>106</v>
      </c>
      <c r="D34" s="23" t="s">
        <v>54</v>
      </c>
      <c r="E34" s="23"/>
      <c r="F34" s="25" t="s">
        <v>50</v>
      </c>
      <c r="G34" s="26">
        <v>0.98</v>
      </c>
      <c r="H34" s="27">
        <v>0.15</v>
      </c>
      <c r="I34" s="27">
        <v>-0.15</v>
      </c>
      <c r="J34" s="39" t="s">
        <v>51</v>
      </c>
      <c r="K34" s="40" t="s">
        <v>52</v>
      </c>
      <c r="L34" s="41">
        <f t="shared" si="29"/>
        <v>1.1299999999999999</v>
      </c>
      <c r="M34" s="42">
        <f t="shared" si="30"/>
        <v>0.83</v>
      </c>
      <c r="N34" s="45"/>
      <c r="O34" s="44">
        <f t="shared" si="31"/>
        <v>1.0027999999999999</v>
      </c>
      <c r="P34" s="44">
        <f t="shared" si="32"/>
        <v>0.97899999999999998</v>
      </c>
      <c r="Q34" s="44">
        <f t="shared" si="33"/>
        <v>0.98788965517241367</v>
      </c>
      <c r="R34" s="52">
        <f t="shared" si="34"/>
        <v>5.6320095898093345E-3</v>
      </c>
      <c r="S34" s="53">
        <f t="shared" si="35"/>
        <v>8.8778257924970418</v>
      </c>
      <c r="T34" s="53">
        <f t="shared" si="36"/>
        <v>8.410872564606624</v>
      </c>
      <c r="U34" s="53">
        <f t="shared" si="37"/>
        <v>9.3447790203874561</v>
      </c>
      <c r="V34" s="53">
        <f t="shared" si="38"/>
        <v>8.410872564606624</v>
      </c>
      <c r="W34" s="54">
        <f t="shared" si="39"/>
        <v>1</v>
      </c>
      <c r="X34" s="55" t="str">
        <f t="shared" si="40"/>
        <v/>
      </c>
      <c r="Y34" s="55" t="str">
        <f t="shared" si="41"/>
        <v/>
      </c>
      <c r="Z34" s="55">
        <f t="shared" si="42"/>
        <v>-7.8896551724136899E-3</v>
      </c>
      <c r="AA34" s="55" t="str">
        <f t="shared" si="43"/>
        <v/>
      </c>
      <c r="AB34" s="61"/>
      <c r="AC34" s="62"/>
      <c r="AD34" s="63"/>
      <c r="AE34" s="64"/>
      <c r="AF34" s="64"/>
      <c r="AG34" s="73"/>
      <c r="AH34" s="74"/>
      <c r="AI34" s="75">
        <v>0.98650000000000004</v>
      </c>
      <c r="AJ34" s="75">
        <v>0.99890000000000001</v>
      </c>
      <c r="AK34" s="75">
        <v>0.98909999999999998</v>
      </c>
      <c r="AL34" s="75">
        <v>0.98640000000000005</v>
      </c>
      <c r="AM34" s="75">
        <v>0.98499999999999999</v>
      </c>
      <c r="AN34" s="75">
        <v>0.98529999999999995</v>
      </c>
      <c r="AO34" s="75">
        <v>0.98809999999999998</v>
      </c>
      <c r="AP34" s="75">
        <v>0.99309999999999998</v>
      </c>
      <c r="AQ34" s="75">
        <v>0.98140000000000005</v>
      </c>
      <c r="AR34" s="75">
        <v>0.98009999999999997</v>
      </c>
      <c r="AS34" s="75">
        <v>0.9859</v>
      </c>
      <c r="AT34" s="75">
        <v>0.98509999999999998</v>
      </c>
      <c r="AU34" s="75">
        <v>0.98680000000000001</v>
      </c>
      <c r="AV34" s="75">
        <v>0.98619999999999997</v>
      </c>
      <c r="AW34" s="75">
        <v>0.97899999999999998</v>
      </c>
      <c r="AX34" s="75">
        <v>1.0027999999999999</v>
      </c>
      <c r="AY34" s="75">
        <v>0.98280000000000001</v>
      </c>
      <c r="AZ34" s="75">
        <v>0.98160000000000003</v>
      </c>
      <c r="BA34" s="75">
        <v>0.98929999999999996</v>
      </c>
      <c r="BB34" s="75">
        <v>0.99039999999999995</v>
      </c>
      <c r="BC34" s="75">
        <v>0.99139999999999995</v>
      </c>
      <c r="BD34" s="75">
        <v>0.98450000000000004</v>
      </c>
      <c r="BE34" s="75">
        <v>0.98480000000000001</v>
      </c>
      <c r="BF34" s="75">
        <v>0.98529999999999995</v>
      </c>
      <c r="BG34" s="75">
        <v>0.98799999999999999</v>
      </c>
      <c r="BH34" s="75">
        <v>0.98629999999999995</v>
      </c>
      <c r="BI34" s="75">
        <v>0.99509999999999998</v>
      </c>
      <c r="BJ34" s="75">
        <v>0.99060000000000004</v>
      </c>
      <c r="BK34" s="75">
        <v>0.999</v>
      </c>
      <c r="BL34" s="75"/>
      <c r="BM34" s="75"/>
      <c r="BN34" s="80"/>
      <c r="BO34" s="81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  <c r="CW34" s="82"/>
      <c r="CX34" s="82"/>
      <c r="CY34" s="82"/>
      <c r="CZ34" s="82"/>
      <c r="DA34" s="82"/>
      <c r="DB34" s="82"/>
      <c r="DC34" s="82"/>
      <c r="DD34" s="82"/>
      <c r="DE34" s="82"/>
      <c r="DF34" s="82"/>
      <c r="DG34" s="82"/>
      <c r="DH34" s="82"/>
      <c r="DI34" s="82"/>
      <c r="DJ34" s="82"/>
      <c r="DK34" s="82"/>
      <c r="DL34" s="82"/>
      <c r="DM34" s="82"/>
      <c r="DN34" s="82"/>
      <c r="DO34" s="82"/>
      <c r="DP34" s="82"/>
      <c r="DQ34" s="82"/>
      <c r="DR34" s="82"/>
      <c r="DS34" s="82"/>
      <c r="DT34" s="82"/>
      <c r="DU34" s="82"/>
      <c r="DV34" s="82"/>
      <c r="DW34" s="82"/>
      <c r="DX34" s="82"/>
      <c r="DY34" s="82"/>
      <c r="DZ34" s="82"/>
      <c r="EA34" s="82"/>
      <c r="EB34" s="82"/>
      <c r="EC34" s="82"/>
      <c r="ED34" s="82"/>
    </row>
    <row r="35" spans="1:134" ht="15" customHeight="1">
      <c r="A35" s="22"/>
      <c r="B35" s="23" t="s">
        <v>49</v>
      </c>
      <c r="C35" s="24" t="s">
        <v>107</v>
      </c>
      <c r="D35" s="23"/>
      <c r="E35" s="23">
        <v>1.33</v>
      </c>
      <c r="F35" s="25" t="s">
        <v>50</v>
      </c>
      <c r="G35" s="26">
        <v>0.27</v>
      </c>
      <c r="H35" s="27">
        <v>0.03</v>
      </c>
      <c r="I35" s="27">
        <v>-0.03</v>
      </c>
      <c r="J35" s="39" t="s">
        <v>51</v>
      </c>
      <c r="K35" s="40" t="s">
        <v>52</v>
      </c>
      <c r="L35" s="41">
        <f t="shared" si="29"/>
        <v>0.30000000000000004</v>
      </c>
      <c r="M35" s="42">
        <f t="shared" si="30"/>
        <v>0.24000000000000002</v>
      </c>
      <c r="N35" s="43"/>
      <c r="O35" s="44">
        <f t="shared" si="31"/>
        <v>0.27289999999999998</v>
      </c>
      <c r="P35" s="44">
        <f t="shared" si="32"/>
        <v>0.2611</v>
      </c>
      <c r="Q35" s="44">
        <f t="shared" si="33"/>
        <v>0.26673103448275859</v>
      </c>
      <c r="R35" s="52">
        <f t="shared" si="34"/>
        <v>3.0952848297595959E-3</v>
      </c>
      <c r="S35" s="53">
        <f t="shared" si="35"/>
        <v>3.2307204506205909</v>
      </c>
      <c r="T35" s="53">
        <f t="shared" si="36"/>
        <v>3.5827575755847736</v>
      </c>
      <c r="U35" s="53">
        <f t="shared" si="37"/>
        <v>2.8786833256564108</v>
      </c>
      <c r="V35" s="53">
        <f t="shared" si="38"/>
        <v>2.8786833256564108</v>
      </c>
      <c r="W35" s="54">
        <f t="shared" si="39"/>
        <v>1</v>
      </c>
      <c r="X35" s="55" t="str">
        <f t="shared" si="40"/>
        <v/>
      </c>
      <c r="Y35" s="55" t="str">
        <f t="shared" si="41"/>
        <v/>
      </c>
      <c r="Z35" s="55">
        <f t="shared" si="42"/>
        <v>3.2689655172414289E-3</v>
      </c>
      <c r="AA35" s="55" t="str">
        <f t="shared" si="43"/>
        <v/>
      </c>
      <c r="AB35" s="61"/>
      <c r="AC35" s="62"/>
      <c r="AD35" s="63"/>
      <c r="AE35" s="64"/>
      <c r="AF35" s="64"/>
      <c r="AG35" s="73"/>
      <c r="AH35" s="74"/>
      <c r="AI35" s="75">
        <v>0.26850000000000002</v>
      </c>
      <c r="AJ35" s="75">
        <v>0.26679999999999998</v>
      </c>
      <c r="AK35" s="75">
        <v>0.26469999999999999</v>
      </c>
      <c r="AL35" s="75">
        <v>0.27160000000000001</v>
      </c>
      <c r="AM35" s="75">
        <v>0.26550000000000001</v>
      </c>
      <c r="AN35" s="75">
        <v>0.26629999999999998</v>
      </c>
      <c r="AO35" s="75">
        <v>0.26740000000000003</v>
      </c>
      <c r="AP35" s="75">
        <v>0.2611</v>
      </c>
      <c r="AQ35" s="75">
        <v>0.26750000000000002</v>
      </c>
      <c r="AR35" s="75">
        <v>0.27189999999999998</v>
      </c>
      <c r="AS35" s="75">
        <v>0.26440000000000002</v>
      </c>
      <c r="AT35" s="75">
        <v>0.26879999999999998</v>
      </c>
      <c r="AU35" s="75">
        <v>0.26889999999999997</v>
      </c>
      <c r="AV35" s="75">
        <v>0.27289999999999998</v>
      </c>
      <c r="AW35" s="75">
        <v>0.26600000000000001</v>
      </c>
      <c r="AX35" s="75">
        <v>0.26379999999999998</v>
      </c>
      <c r="AY35" s="75">
        <v>0.26319999999999999</v>
      </c>
      <c r="AZ35" s="75">
        <v>0.2681</v>
      </c>
      <c r="BA35" s="75">
        <v>0.26379999999999998</v>
      </c>
      <c r="BB35" s="75">
        <v>0.26369999999999999</v>
      </c>
      <c r="BC35" s="75">
        <v>0.26450000000000001</v>
      </c>
      <c r="BD35" s="75">
        <v>0.2631</v>
      </c>
      <c r="BE35" s="75">
        <v>0.26910000000000001</v>
      </c>
      <c r="BF35" s="75">
        <v>0.26490000000000002</v>
      </c>
      <c r="BG35" s="75">
        <v>0.27260000000000001</v>
      </c>
      <c r="BH35" s="75">
        <v>0.26960000000000001</v>
      </c>
      <c r="BI35" s="75">
        <v>0.26779999999999998</v>
      </c>
      <c r="BJ35" s="75">
        <v>0.2646</v>
      </c>
      <c r="BK35" s="75">
        <v>0.2641</v>
      </c>
      <c r="BL35" s="75"/>
      <c r="BM35" s="75"/>
      <c r="BN35" s="80"/>
      <c r="BO35" s="81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2"/>
      <c r="DG35" s="82"/>
      <c r="DH35" s="82"/>
      <c r="DI35" s="82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2"/>
      <c r="DZ35" s="82"/>
      <c r="EA35" s="82"/>
      <c r="EB35" s="82"/>
      <c r="EC35" s="82"/>
      <c r="ED35" s="82"/>
    </row>
    <row r="36" spans="1:134" ht="15" customHeight="1">
      <c r="A36" s="22"/>
      <c r="B36" s="23" t="s">
        <v>49</v>
      </c>
      <c r="C36" s="24" t="s">
        <v>108</v>
      </c>
      <c r="D36" s="23"/>
      <c r="E36" s="23">
        <v>1.33</v>
      </c>
      <c r="F36" s="25" t="s">
        <v>50</v>
      </c>
      <c r="G36" s="26">
        <v>1.7549999999999999</v>
      </c>
      <c r="H36" s="27">
        <v>0.03</v>
      </c>
      <c r="I36" s="27">
        <v>-0.1</v>
      </c>
      <c r="J36" s="39" t="s">
        <v>51</v>
      </c>
      <c r="K36" s="40" t="s">
        <v>52</v>
      </c>
      <c r="L36" s="41">
        <f t="shared" ref="L36" si="44">IF(AND(G36="",H36=""),"",IF(G36="",H36,G36+H36))</f>
        <v>1.7849999999999999</v>
      </c>
      <c r="M36" s="42">
        <f t="shared" ref="M36" si="45">IF(AND(G36="",I36=""),"",IF(G36="",I36,G36+I36))</f>
        <v>1.6549999999999998</v>
      </c>
      <c r="N36" s="45"/>
      <c r="O36" s="44">
        <f t="shared" ref="O36" si="46">IF(OR($AI36="",ISNUMBER($AI36)=FALSE),"",MAX(AI36:ED36))</f>
        <v>1.7146999999999999</v>
      </c>
      <c r="P36" s="44">
        <f t="shared" ref="P36" si="47">IF(OR($AI36="",ISNUMBER($AI36)=FALSE),"",MIN(AI36:ED36))</f>
        <v>1.6968999999999999</v>
      </c>
      <c r="Q36" s="44">
        <f t="shared" ref="Q36" si="48">IF(OR($AI36="",ISNUMBER($AI36)=FALSE),"",AVERAGE(AI36:ED36))</f>
        <v>1.7074413793103445</v>
      </c>
      <c r="R36" s="52">
        <f t="shared" ref="R36" si="49">IF(OR($AI36="",ISNUMBER($AI36)=FALSE),"",STDEV(AI36:ED36))</f>
        <v>3.8572304314087097E-3</v>
      </c>
      <c r="S36" s="53">
        <f t="shared" ref="S36" si="50">IF(OR($AI36="",ISNUMBER($AI36)=FALSE),"",IF(AND(G36=0,I36=0),T36,IF(AND(G36="",H36=""),U36,(H36+ABS(I36))/(6*R36))))</f>
        <v>5.6171564162304213</v>
      </c>
      <c r="T36" s="53">
        <f t="shared" ref="T36" si="51">IF(OR($AI36="",ISNUMBER($AI36)=FALSE),"",IF(H36="","",(L36-Q36)/(3*R36)))</f>
        <v>6.7024446744750721</v>
      </c>
      <c r="U36" s="53">
        <f t="shared" ref="U36" si="52">IF(OR($AI36="",ISNUMBER($AI36)=FALSE),"",IF(I36="","",(Q36-M36)/(3*R36)))</f>
        <v>4.5318681579857802</v>
      </c>
      <c r="V36" s="53">
        <f t="shared" ref="V36" si="53">IF(OR($AI36="",ISNUMBER($AI36)=FALSE),"",IF(AND(G36=0,I36=0),((H36)-(Q36))/(3*R36),MIN(T36:U36)))</f>
        <v>4.5318681579857802</v>
      </c>
      <c r="W36" s="54">
        <f t="shared" ref="W36" si="54">IF(OR($AI36="",ISNUMBER($AI36)=FALSE),"",IF(AND(G36=0,I36=0),NORMSDIST(3*V36),NORMSDIST(3*V36)+NORMSDIST(6*S36-3*V36)-1))</f>
        <v>1</v>
      </c>
      <c r="X36" s="55" t="str">
        <f t="shared" ref="X36" si="55">IF($Q36="","",IF(F36="Tolerance",IF(($E36*3*R36+Q36)-G36&lt;H36,"",($E36*3*R36+Q36)-G36),IF(OR(F36="GD&amp;T",F36="MAX"),IF(($E36*3*R36+Q36)&lt;H36,"",($E36*3*R36+Q36)),"")))</f>
        <v/>
      </c>
      <c r="Y36" s="55" t="str">
        <f t="shared" ref="Y36" si="56">IF(Q36="","",IF(F36="Tolerance",IF(-(($E36*3*R36)-Q36)-G36&gt;I36,"",-(($E36*3*R36)-Q36)-G36),IF(F36="MIN",IF(-(($E36*3*R36)-Q36)&gt;I36,"",-(($E36*3*R36)-Q36)),"")))</f>
        <v/>
      </c>
      <c r="Z36" s="55">
        <f t="shared" ref="Z36" si="57">IF(OR(G36="",Q36=""),"",(L36+M36)/2-Q36)</f>
        <v>1.2558620689655298E-2</v>
      </c>
      <c r="AA36" s="55" t="str">
        <f t="shared" si="43"/>
        <v/>
      </c>
      <c r="AB36" s="61"/>
      <c r="AC36" s="62"/>
      <c r="AD36" s="63"/>
      <c r="AE36" s="64"/>
      <c r="AF36" s="64"/>
      <c r="AG36" s="73"/>
      <c r="AH36" s="74"/>
      <c r="AI36" s="75">
        <v>1.7042999999999999</v>
      </c>
      <c r="AJ36" s="75">
        <v>1.7119</v>
      </c>
      <c r="AK36" s="75">
        <v>1.7073</v>
      </c>
      <c r="AL36" s="75">
        <v>1.7099</v>
      </c>
      <c r="AM36" s="75">
        <v>1.7128000000000001</v>
      </c>
      <c r="AN36" s="75">
        <v>1.706</v>
      </c>
      <c r="AO36" s="75">
        <v>1.7012999999999998</v>
      </c>
      <c r="AP36" s="75">
        <v>1.7111000000000001</v>
      </c>
      <c r="AQ36" s="75">
        <v>1.7093</v>
      </c>
      <c r="AR36" s="75">
        <v>1.7044000000000001</v>
      </c>
      <c r="AS36" s="75">
        <v>1.7033</v>
      </c>
      <c r="AT36" s="75">
        <v>1.7130000000000001</v>
      </c>
      <c r="AU36" s="75">
        <v>1.7096</v>
      </c>
      <c r="AV36" s="75">
        <v>1.7093</v>
      </c>
      <c r="AW36" s="75">
        <v>1.7069999999999999</v>
      </c>
      <c r="AX36" s="75">
        <v>1.6968999999999999</v>
      </c>
      <c r="AY36" s="75">
        <v>1.7062000000000002</v>
      </c>
      <c r="AZ36" s="75">
        <v>1.7096</v>
      </c>
      <c r="BA36" s="75">
        <v>1.7091000000000001</v>
      </c>
      <c r="BB36" s="75">
        <v>1.7043999999999999</v>
      </c>
      <c r="BC36" s="75">
        <v>1.7057</v>
      </c>
      <c r="BD36" s="75">
        <v>1.7061999999999999</v>
      </c>
      <c r="BE36" s="75">
        <v>1.7086000000000001</v>
      </c>
      <c r="BF36" s="75">
        <v>1.7081</v>
      </c>
      <c r="BG36" s="75">
        <v>1.7059</v>
      </c>
      <c r="BH36" s="75">
        <v>1.7146999999999999</v>
      </c>
      <c r="BI36" s="75">
        <v>1.7115999999999998</v>
      </c>
      <c r="BJ36" s="75">
        <v>1.7043999999999999</v>
      </c>
      <c r="BK36" s="75">
        <v>1.7039</v>
      </c>
      <c r="BL36" s="75"/>
      <c r="BM36" s="75"/>
      <c r="BN36" s="80"/>
      <c r="BO36" s="81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2"/>
      <c r="DG36" s="82"/>
      <c r="DH36" s="82"/>
      <c r="DI36" s="82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2"/>
      <c r="DZ36" s="82"/>
      <c r="EA36" s="82"/>
      <c r="EB36" s="82"/>
      <c r="EC36" s="82"/>
      <c r="ED36" s="82"/>
    </row>
    <row r="37" spans="1:134" ht="15" customHeight="1">
      <c r="A37" s="22"/>
      <c r="B37" s="23" t="s">
        <v>49</v>
      </c>
      <c r="C37" s="24" t="s">
        <v>109</v>
      </c>
      <c r="D37" s="23"/>
      <c r="E37" s="23">
        <v>1.33</v>
      </c>
      <c r="F37" s="25" t="s">
        <v>53</v>
      </c>
      <c r="G37" s="26"/>
      <c r="H37" s="27">
        <v>3.5000000000000003E-2</v>
      </c>
      <c r="I37" s="27"/>
      <c r="J37" s="39" t="s">
        <v>51</v>
      </c>
      <c r="K37" s="40" t="s">
        <v>52</v>
      </c>
      <c r="L37" s="41">
        <f t="shared" si="29"/>
        <v>3.5000000000000003E-2</v>
      </c>
      <c r="M37" s="42" t="str">
        <f t="shared" si="30"/>
        <v/>
      </c>
      <c r="N37" s="46"/>
      <c r="O37" s="44">
        <f t="shared" si="31"/>
        <v>4.8300000000000003E-2</v>
      </c>
      <c r="P37" s="44">
        <f t="shared" si="32"/>
        <v>2.9399999999999999E-2</v>
      </c>
      <c r="Q37" s="44">
        <f t="shared" si="33"/>
        <v>3.9134482758620692E-2</v>
      </c>
      <c r="R37" s="52">
        <f t="shared" si="34"/>
        <v>5.2804407190301965E-3</v>
      </c>
      <c r="S37" s="53">
        <f t="shared" si="35"/>
        <v>-0.26099354066668551</v>
      </c>
      <c r="T37" s="53">
        <f t="shared" si="36"/>
        <v>-0.26099354066668551</v>
      </c>
      <c r="U37" s="53" t="str">
        <f t="shared" si="37"/>
        <v/>
      </c>
      <c r="V37" s="53">
        <f t="shared" si="38"/>
        <v>-0.26099354066668551</v>
      </c>
      <c r="W37" s="54">
        <f t="shared" si="39"/>
        <v>0.2168192457546872</v>
      </c>
      <c r="X37" s="55">
        <f t="shared" si="40"/>
        <v>6.0203441227551176E-2</v>
      </c>
      <c r="Y37" s="55" t="str">
        <f t="shared" si="41"/>
        <v/>
      </c>
      <c r="Z37" s="55" t="str">
        <f t="shared" si="42"/>
        <v/>
      </c>
      <c r="AA37" s="55">
        <f t="shared" si="43"/>
        <v>4.7523966471271765E-2</v>
      </c>
      <c r="AB37" s="61"/>
      <c r="AC37" s="62"/>
      <c r="AD37" s="63"/>
      <c r="AE37" s="64"/>
      <c r="AF37" s="64"/>
      <c r="AG37" s="73"/>
      <c r="AH37" s="76"/>
      <c r="AI37" s="75">
        <v>3.5499999999999997E-2</v>
      </c>
      <c r="AJ37" s="75">
        <v>3.5099999999999999E-2</v>
      </c>
      <c r="AK37" s="75">
        <v>3.3799999999999997E-2</v>
      </c>
      <c r="AL37" s="75">
        <v>3.4500000000000003E-2</v>
      </c>
      <c r="AM37" s="75">
        <v>3.5700000000000003E-2</v>
      </c>
      <c r="AN37" s="75">
        <v>4.8300000000000003E-2</v>
      </c>
      <c r="AO37" s="75">
        <v>3.7100000000000001E-2</v>
      </c>
      <c r="AP37" s="75">
        <v>2.9399999999999999E-2</v>
      </c>
      <c r="AQ37" s="75">
        <v>3.4500000000000003E-2</v>
      </c>
      <c r="AR37" s="75">
        <v>3.09E-2</v>
      </c>
      <c r="AS37" s="75">
        <v>3.7199999999999997E-2</v>
      </c>
      <c r="AT37" s="75">
        <v>4.7E-2</v>
      </c>
      <c r="AU37" s="75">
        <v>3.8399999999999997E-2</v>
      </c>
      <c r="AV37" s="75">
        <v>4.2200000000000001E-2</v>
      </c>
      <c r="AW37" s="75">
        <v>4.5100000000000001E-2</v>
      </c>
      <c r="AX37" s="75">
        <v>4.4299999999999999E-2</v>
      </c>
      <c r="AY37" s="75">
        <v>4.1000000000000002E-2</v>
      </c>
      <c r="AZ37" s="75">
        <v>4.5900000000000003E-2</v>
      </c>
      <c r="BA37" s="75">
        <v>4.2900000000000001E-2</v>
      </c>
      <c r="BB37" s="75">
        <v>4.2099999999999999E-2</v>
      </c>
      <c r="BC37" s="75">
        <v>3.2000000000000001E-2</v>
      </c>
      <c r="BD37" s="75">
        <v>4.48E-2</v>
      </c>
      <c r="BE37" s="75">
        <v>3.9199999999999999E-2</v>
      </c>
      <c r="BF37" s="75">
        <v>3.8300000000000001E-2</v>
      </c>
      <c r="BG37" s="75">
        <v>4.1799999999999997E-2</v>
      </c>
      <c r="BH37" s="75">
        <v>3.2500000000000001E-2</v>
      </c>
      <c r="BI37" s="75">
        <v>4.7E-2</v>
      </c>
      <c r="BJ37" s="75">
        <v>4.1500000000000002E-2</v>
      </c>
      <c r="BK37" s="75">
        <v>3.6900000000000002E-2</v>
      </c>
      <c r="BL37" s="75"/>
      <c r="BM37" s="75"/>
      <c r="BN37" s="80"/>
      <c r="BO37" s="81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2"/>
      <c r="DG37" s="82"/>
      <c r="DH37" s="82"/>
      <c r="DI37" s="82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2"/>
      <c r="DZ37" s="82"/>
      <c r="EA37" s="82"/>
      <c r="EB37" s="82"/>
      <c r="EC37" s="82"/>
      <c r="ED37" s="82"/>
    </row>
    <row r="38" spans="1:134" ht="15" customHeight="1">
      <c r="A38" s="22"/>
      <c r="B38" s="23"/>
      <c r="C38" s="24" t="s">
        <v>110</v>
      </c>
      <c r="D38" s="23" t="s">
        <v>54</v>
      </c>
      <c r="E38" s="23"/>
      <c r="F38" s="25" t="s">
        <v>50</v>
      </c>
      <c r="G38" s="26">
        <v>0</v>
      </c>
      <c r="H38" s="27">
        <v>0.15</v>
      </c>
      <c r="I38" s="27">
        <v>-0.15</v>
      </c>
      <c r="J38" s="39" t="s">
        <v>51</v>
      </c>
      <c r="K38" s="40" t="s">
        <v>52</v>
      </c>
      <c r="L38" s="41">
        <f t="shared" si="29"/>
        <v>0.15</v>
      </c>
      <c r="M38" s="42">
        <f t="shared" si="30"/>
        <v>-0.15</v>
      </c>
      <c r="N38" s="45"/>
      <c r="O38" s="44">
        <f t="shared" si="31"/>
        <v>-1.5699999999999999E-2</v>
      </c>
      <c r="P38" s="44">
        <f t="shared" si="32"/>
        <v>-2.7099999999999999E-2</v>
      </c>
      <c r="Q38" s="44">
        <f t="shared" si="33"/>
        <v>-2.1824137931034479E-2</v>
      </c>
      <c r="R38" s="52">
        <f t="shared" si="34"/>
        <v>2.9300969233620189E-3</v>
      </c>
      <c r="S38" s="53">
        <f t="shared" si="35"/>
        <v>17.064281935980997</v>
      </c>
      <c r="T38" s="53">
        <f t="shared" si="36"/>
        <v>19.547036887080392</v>
      </c>
      <c r="U38" s="53">
        <f t="shared" si="37"/>
        <v>14.581526984881604</v>
      </c>
      <c r="V38" s="53">
        <f t="shared" si="38"/>
        <v>14.581526984881604</v>
      </c>
      <c r="W38" s="54">
        <f t="shared" si="39"/>
        <v>1</v>
      </c>
      <c r="X38" s="55" t="str">
        <f t="shared" si="40"/>
        <v/>
      </c>
      <c r="Y38" s="55" t="str">
        <f t="shared" si="41"/>
        <v/>
      </c>
      <c r="Z38" s="55">
        <f t="shared" si="42"/>
        <v>2.1824137931034479E-2</v>
      </c>
      <c r="AA38" s="55" t="str">
        <f t="shared" si="43"/>
        <v/>
      </c>
      <c r="AB38" s="61"/>
      <c r="AC38" s="62"/>
      <c r="AD38" s="63"/>
      <c r="AE38" s="64"/>
      <c r="AF38" s="64"/>
      <c r="AG38" s="73"/>
      <c r="AH38" s="74"/>
      <c r="AI38" s="75">
        <v>-1.9599999999999999E-2</v>
      </c>
      <c r="AJ38" s="75">
        <v>-2.0400000000000001E-2</v>
      </c>
      <c r="AK38" s="75">
        <v>-1.9199999999999998E-2</v>
      </c>
      <c r="AL38" s="75">
        <v>-2.07E-2</v>
      </c>
      <c r="AM38" s="75">
        <v>-1.89E-2</v>
      </c>
      <c r="AN38" s="75">
        <v>-2.5600000000000001E-2</v>
      </c>
      <c r="AO38" s="75">
        <v>-1.9800000000000002E-2</v>
      </c>
      <c r="AP38" s="75">
        <v>-1.5699999999999999E-2</v>
      </c>
      <c r="AQ38" s="75">
        <v>-1.9E-2</v>
      </c>
      <c r="AR38" s="75">
        <v>-1.7399999999999999E-2</v>
      </c>
      <c r="AS38" s="75">
        <v>-2.0400000000000001E-2</v>
      </c>
      <c r="AT38" s="75">
        <v>-2.7099999999999999E-2</v>
      </c>
      <c r="AU38" s="75">
        <v>-2.0799999999999999E-2</v>
      </c>
      <c r="AV38" s="75">
        <v>-2.3E-2</v>
      </c>
      <c r="AW38" s="75">
        <v>-2.4799999999999999E-2</v>
      </c>
      <c r="AX38" s="75">
        <v>-2.52E-2</v>
      </c>
      <c r="AY38" s="75">
        <v>-2.3800000000000002E-2</v>
      </c>
      <c r="AZ38" s="75">
        <v>-2.5700000000000001E-2</v>
      </c>
      <c r="BA38" s="75">
        <v>-2.4500000000000001E-2</v>
      </c>
      <c r="BB38" s="75">
        <v>-2.3199999999999998E-2</v>
      </c>
      <c r="BC38" s="75">
        <v>-1.7999999999999999E-2</v>
      </c>
      <c r="BD38" s="75">
        <v>-2.4500000000000001E-2</v>
      </c>
      <c r="BE38" s="75">
        <v>-2.1399999999999999E-2</v>
      </c>
      <c r="BF38" s="75">
        <v>-2.1999999999999999E-2</v>
      </c>
      <c r="BG38" s="75">
        <v>-2.2599999999999999E-2</v>
      </c>
      <c r="BH38" s="75">
        <v>-1.8700000000000001E-2</v>
      </c>
      <c r="BI38" s="75">
        <v>-2.5999999999999999E-2</v>
      </c>
      <c r="BJ38" s="75">
        <v>-2.35E-2</v>
      </c>
      <c r="BK38" s="75">
        <v>-2.1399999999999999E-2</v>
      </c>
      <c r="BL38" s="75"/>
      <c r="BM38" s="75"/>
      <c r="BN38" s="80"/>
      <c r="BO38" s="81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82"/>
      <c r="CP38" s="82"/>
      <c r="CQ38" s="82"/>
      <c r="CR38" s="82"/>
      <c r="CS38" s="82"/>
      <c r="CT38" s="82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2"/>
      <c r="DG38" s="82"/>
      <c r="DH38" s="82"/>
      <c r="DI38" s="82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2"/>
      <c r="DZ38" s="82"/>
      <c r="EA38" s="82"/>
      <c r="EB38" s="82"/>
      <c r="EC38" s="82"/>
      <c r="ED38" s="82"/>
    </row>
    <row r="39" spans="1:134" ht="15" customHeight="1">
      <c r="A39" s="22"/>
      <c r="B39" s="23"/>
      <c r="C39" s="24" t="s">
        <v>111</v>
      </c>
      <c r="D39" s="23" t="s">
        <v>54</v>
      </c>
      <c r="E39" s="23"/>
      <c r="F39" s="25" t="s">
        <v>50</v>
      </c>
      <c r="G39" s="26">
        <v>0</v>
      </c>
      <c r="H39" s="27">
        <v>0.15</v>
      </c>
      <c r="I39" s="27">
        <v>-0.15</v>
      </c>
      <c r="J39" s="39" t="s">
        <v>51</v>
      </c>
      <c r="K39" s="40" t="s">
        <v>52</v>
      </c>
      <c r="L39" s="41">
        <f t="shared" si="29"/>
        <v>0.15</v>
      </c>
      <c r="M39" s="42">
        <f t="shared" si="30"/>
        <v>-0.15</v>
      </c>
      <c r="N39" s="45"/>
      <c r="O39" s="44">
        <f t="shared" si="31"/>
        <v>6.4999999999999997E-3</v>
      </c>
      <c r="P39" s="44">
        <f t="shared" si="32"/>
        <v>-4.0000000000000002E-4</v>
      </c>
      <c r="Q39" s="44">
        <f t="shared" si="33"/>
        <v>3.3862068965517232E-3</v>
      </c>
      <c r="R39" s="52">
        <f t="shared" si="34"/>
        <v>1.6999420447959468E-3</v>
      </c>
      <c r="S39" s="53">
        <f t="shared" si="35"/>
        <v>29.412767425257588</v>
      </c>
      <c r="T39" s="53">
        <f t="shared" si="36"/>
        <v>28.748782652577059</v>
      </c>
      <c r="U39" s="53">
        <f t="shared" si="37"/>
        <v>30.076752197938116</v>
      </c>
      <c r="V39" s="53">
        <f t="shared" si="38"/>
        <v>28.748782652577059</v>
      </c>
      <c r="W39" s="54">
        <f t="shared" si="39"/>
        <v>1</v>
      </c>
      <c r="X39" s="55" t="str">
        <f t="shared" si="40"/>
        <v/>
      </c>
      <c r="Y39" s="55" t="str">
        <f t="shared" si="41"/>
        <v/>
      </c>
      <c r="Z39" s="55">
        <f t="shared" si="42"/>
        <v>-3.3862068965517232E-3</v>
      </c>
      <c r="AA39" s="55" t="str">
        <f t="shared" si="43"/>
        <v/>
      </c>
      <c r="AB39" s="61"/>
      <c r="AC39" s="62"/>
      <c r="AD39" s="63"/>
      <c r="AE39" s="64"/>
      <c r="AF39" s="64"/>
      <c r="AG39" s="73"/>
      <c r="AH39" s="74"/>
      <c r="AI39" s="75">
        <v>4.0000000000000001E-3</v>
      </c>
      <c r="AJ39" s="75">
        <v>2.0999999999999999E-3</v>
      </c>
      <c r="AK39" s="75">
        <v>6.1000000000000004E-3</v>
      </c>
      <c r="AL39" s="75">
        <v>5.7999999999999996E-3</v>
      </c>
      <c r="AM39" s="75">
        <v>5.0000000000000001E-3</v>
      </c>
      <c r="AN39" s="75">
        <v>5.3E-3</v>
      </c>
      <c r="AO39" s="75">
        <v>2.5999999999999999E-3</v>
      </c>
      <c r="AP39" s="75">
        <v>6.4999999999999997E-3</v>
      </c>
      <c r="AQ39" s="75">
        <v>3.0000000000000001E-3</v>
      </c>
      <c r="AR39" s="75">
        <v>2.7000000000000001E-3</v>
      </c>
      <c r="AS39" s="75">
        <v>5.4999999999999997E-3</v>
      </c>
      <c r="AT39" s="75">
        <v>3.5000000000000001E-3</v>
      </c>
      <c r="AU39" s="75">
        <v>1.6000000000000001E-3</v>
      </c>
      <c r="AV39" s="75">
        <v>4.8999999999999998E-3</v>
      </c>
      <c r="AW39" s="75">
        <v>-4.0000000000000002E-4</v>
      </c>
      <c r="AX39" s="75">
        <v>2.8E-3</v>
      </c>
      <c r="AY39" s="75">
        <v>4.7000000000000002E-3</v>
      </c>
      <c r="AZ39" s="75">
        <v>3.2000000000000002E-3</v>
      </c>
      <c r="BA39" s="75">
        <v>2.8999999999999998E-3</v>
      </c>
      <c r="BB39" s="75">
        <v>3.2000000000000002E-3</v>
      </c>
      <c r="BC39" s="75">
        <v>5.1000000000000004E-3</v>
      </c>
      <c r="BD39" s="75">
        <v>4.7000000000000002E-3</v>
      </c>
      <c r="BE39" s="75">
        <v>2.3999999999999998E-3</v>
      </c>
      <c r="BF39" s="75">
        <v>2.2000000000000001E-3</v>
      </c>
      <c r="BG39" s="75">
        <v>1E-3</v>
      </c>
      <c r="BH39" s="75">
        <v>2.3999999999999998E-3</v>
      </c>
      <c r="BI39" s="75">
        <v>2.2000000000000001E-3</v>
      </c>
      <c r="BJ39" s="75">
        <v>2E-3</v>
      </c>
      <c r="BK39" s="75">
        <v>1.1999999999999999E-3</v>
      </c>
      <c r="BL39" s="75"/>
      <c r="BM39" s="75"/>
      <c r="BN39" s="80"/>
      <c r="BO39" s="81"/>
      <c r="BP39" s="82"/>
      <c r="BQ39" s="82"/>
      <c r="BR39" s="82"/>
      <c r="BS39" s="82"/>
      <c r="BT39" s="82"/>
      <c r="BU39" s="82"/>
      <c r="BV39" s="82"/>
      <c r="BW39" s="82"/>
      <c r="BX39" s="82"/>
      <c r="BY39" s="82"/>
      <c r="BZ39" s="82"/>
      <c r="CA39" s="82"/>
      <c r="CB39" s="82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82"/>
      <c r="CO39" s="82"/>
      <c r="CP39" s="82"/>
      <c r="CQ39" s="82"/>
      <c r="CR39" s="82"/>
      <c r="CS39" s="82"/>
      <c r="CT39" s="82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2"/>
      <c r="DG39" s="82"/>
      <c r="DH39" s="82"/>
      <c r="DI39" s="82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2"/>
      <c r="DZ39" s="82"/>
      <c r="EA39" s="82"/>
      <c r="EB39" s="82"/>
      <c r="EC39" s="82"/>
      <c r="ED39" s="82"/>
    </row>
    <row r="40" spans="1:134" ht="15" customHeight="1">
      <c r="A40" s="22"/>
      <c r="B40" s="23"/>
      <c r="C40" s="24" t="s">
        <v>112</v>
      </c>
      <c r="D40" s="23" t="s">
        <v>54</v>
      </c>
      <c r="E40" s="23"/>
      <c r="F40" s="25" t="s">
        <v>50</v>
      </c>
      <c r="G40" s="26">
        <v>0</v>
      </c>
      <c r="H40" s="27">
        <v>0.15</v>
      </c>
      <c r="I40" s="27">
        <v>-0.15</v>
      </c>
      <c r="J40" s="39" t="s">
        <v>51</v>
      </c>
      <c r="K40" s="40" t="s">
        <v>52</v>
      </c>
      <c r="L40" s="41">
        <f t="shared" si="29"/>
        <v>0.15</v>
      </c>
      <c r="M40" s="42">
        <f t="shared" si="30"/>
        <v>-0.15</v>
      </c>
      <c r="N40" s="45"/>
      <c r="O40" s="44">
        <f t="shared" si="31"/>
        <v>2.2700000000000001E-2</v>
      </c>
      <c r="P40" s="44">
        <f t="shared" si="32"/>
        <v>1.15E-2</v>
      </c>
      <c r="Q40" s="44">
        <f t="shared" si="33"/>
        <v>1.7096551724137928E-2</v>
      </c>
      <c r="R40" s="52">
        <f t="shared" si="34"/>
        <v>2.5512577792449033E-3</v>
      </c>
      <c r="S40" s="53">
        <f t="shared" si="35"/>
        <v>19.598176400190543</v>
      </c>
      <c r="T40" s="53">
        <f t="shared" si="36"/>
        <v>17.36443482335963</v>
      </c>
      <c r="U40" s="53">
        <f t="shared" si="37"/>
        <v>21.831917977021455</v>
      </c>
      <c r="V40" s="53">
        <f t="shared" si="38"/>
        <v>17.36443482335963</v>
      </c>
      <c r="W40" s="54">
        <f t="shared" si="39"/>
        <v>1</v>
      </c>
      <c r="X40" s="55" t="str">
        <f t="shared" si="40"/>
        <v/>
      </c>
      <c r="Y40" s="55" t="str">
        <f t="shared" si="41"/>
        <v/>
      </c>
      <c r="Z40" s="55">
        <f t="shared" si="42"/>
        <v>-1.7096551724137928E-2</v>
      </c>
      <c r="AA40" s="55" t="str">
        <f t="shared" si="43"/>
        <v/>
      </c>
      <c r="AB40" s="61"/>
      <c r="AC40" s="62"/>
      <c r="AD40" s="63"/>
      <c r="AE40" s="64"/>
      <c r="AF40" s="64"/>
      <c r="AG40" s="73"/>
      <c r="AH40" s="74"/>
      <c r="AI40" s="75">
        <v>1.5800000000000002E-2</v>
      </c>
      <c r="AJ40" s="75">
        <v>1.47E-2</v>
      </c>
      <c r="AK40" s="75">
        <v>1.46E-2</v>
      </c>
      <c r="AL40" s="75">
        <v>1.38E-2</v>
      </c>
      <c r="AM40" s="75">
        <v>1.67E-2</v>
      </c>
      <c r="AN40" s="75">
        <v>2.2700000000000001E-2</v>
      </c>
      <c r="AO40" s="75">
        <v>1.7299999999999999E-2</v>
      </c>
      <c r="AP40" s="75">
        <v>1.37E-2</v>
      </c>
      <c r="AQ40" s="75">
        <v>1.55E-2</v>
      </c>
      <c r="AR40" s="75">
        <v>1.15E-2</v>
      </c>
      <c r="AS40" s="75">
        <v>1.6799999999999999E-2</v>
      </c>
      <c r="AT40" s="75">
        <v>1.8200000000000001E-2</v>
      </c>
      <c r="AU40" s="75">
        <v>1.7600000000000001E-2</v>
      </c>
      <c r="AV40" s="75">
        <v>1.9300000000000001E-2</v>
      </c>
      <c r="AW40" s="75">
        <v>1.7899999999999999E-2</v>
      </c>
      <c r="AX40" s="75">
        <v>1.9099999999999999E-2</v>
      </c>
      <c r="AY40" s="75">
        <v>1.7100000000000001E-2</v>
      </c>
      <c r="AZ40" s="75">
        <v>2.0199999999999999E-2</v>
      </c>
      <c r="BA40" s="75">
        <v>1.84E-2</v>
      </c>
      <c r="BB40" s="75">
        <v>1.89E-2</v>
      </c>
      <c r="BC40" s="75">
        <v>1.4E-2</v>
      </c>
      <c r="BD40" s="75">
        <v>2.0299999999999999E-2</v>
      </c>
      <c r="BE40" s="75">
        <v>1.78E-2</v>
      </c>
      <c r="BF40" s="75">
        <v>1.6299999999999999E-2</v>
      </c>
      <c r="BG40" s="75">
        <v>1.9199999999999998E-2</v>
      </c>
      <c r="BH40" s="75">
        <v>1.38E-2</v>
      </c>
      <c r="BI40" s="75">
        <v>2.1000000000000001E-2</v>
      </c>
      <c r="BJ40" s="75">
        <v>1.8100000000000002E-2</v>
      </c>
      <c r="BK40" s="75">
        <v>1.55E-2</v>
      </c>
      <c r="BL40" s="75"/>
      <c r="BM40" s="75"/>
      <c r="BN40" s="80"/>
      <c r="BO40" s="81"/>
      <c r="BP40" s="82"/>
      <c r="BQ40" s="82"/>
      <c r="BR40" s="82"/>
      <c r="BS40" s="82"/>
      <c r="BT40" s="82"/>
      <c r="BU40" s="82"/>
      <c r="BV40" s="82"/>
      <c r="BW40" s="82"/>
      <c r="BX40" s="82"/>
      <c r="BY40" s="82"/>
      <c r="BZ40" s="82"/>
      <c r="CA40" s="82"/>
      <c r="CB40" s="82"/>
      <c r="CC40" s="82"/>
      <c r="CD40" s="82"/>
      <c r="CE40" s="82"/>
      <c r="CF40" s="82"/>
      <c r="CG40" s="82"/>
      <c r="CH40" s="82"/>
      <c r="CI40" s="82"/>
      <c r="CJ40" s="82"/>
      <c r="CK40" s="82"/>
      <c r="CL40" s="82"/>
      <c r="CM40" s="82"/>
      <c r="CN40" s="82"/>
      <c r="CO40" s="82"/>
      <c r="CP40" s="82"/>
      <c r="CQ40" s="82"/>
      <c r="CR40" s="82"/>
      <c r="CS40" s="82"/>
      <c r="CT40" s="82"/>
      <c r="CU40" s="82"/>
      <c r="CV40" s="82"/>
      <c r="CW40" s="82"/>
      <c r="CX40" s="82"/>
      <c r="CY40" s="82"/>
      <c r="CZ40" s="82"/>
      <c r="DA40" s="82"/>
      <c r="DB40" s="82"/>
      <c r="DC40" s="82"/>
      <c r="DD40" s="82"/>
      <c r="DE40" s="82"/>
      <c r="DF40" s="82"/>
      <c r="DG40" s="82"/>
      <c r="DH40" s="82"/>
      <c r="DI40" s="82"/>
      <c r="DJ40" s="82"/>
      <c r="DK40" s="82"/>
      <c r="DL40" s="82"/>
      <c r="DM40" s="82"/>
      <c r="DN40" s="82"/>
      <c r="DO40" s="82"/>
      <c r="DP40" s="82"/>
      <c r="DQ40" s="82"/>
      <c r="DR40" s="82"/>
      <c r="DS40" s="82"/>
      <c r="DT40" s="82"/>
      <c r="DU40" s="82"/>
      <c r="DV40" s="82"/>
      <c r="DW40" s="82"/>
      <c r="DX40" s="82"/>
      <c r="DY40" s="82"/>
      <c r="DZ40" s="82"/>
      <c r="EA40" s="82"/>
      <c r="EB40" s="82"/>
      <c r="EC40" s="82"/>
      <c r="ED40" s="82"/>
    </row>
    <row r="41" spans="1:134" ht="15" customHeight="1">
      <c r="A41" s="22"/>
      <c r="B41" s="23"/>
      <c r="C41" s="24" t="s">
        <v>113</v>
      </c>
      <c r="D41" s="23" t="s">
        <v>54</v>
      </c>
      <c r="E41" s="23"/>
      <c r="F41" s="25" t="s">
        <v>50</v>
      </c>
      <c r="G41" s="26">
        <v>0</v>
      </c>
      <c r="H41" s="27">
        <v>0.15</v>
      </c>
      <c r="I41" s="27">
        <v>-0.15</v>
      </c>
      <c r="J41" s="39" t="s">
        <v>51</v>
      </c>
      <c r="K41" s="40" t="s">
        <v>52</v>
      </c>
      <c r="L41" s="41">
        <f t="shared" si="29"/>
        <v>0.15</v>
      </c>
      <c r="M41" s="42">
        <f t="shared" si="30"/>
        <v>-0.15</v>
      </c>
      <c r="N41" s="45"/>
      <c r="O41" s="44">
        <f t="shared" si="31"/>
        <v>4.7999999999999996E-3</v>
      </c>
      <c r="P41" s="44">
        <f t="shared" si="32"/>
        <v>-5.1000000000000004E-3</v>
      </c>
      <c r="Q41" s="44">
        <f t="shared" si="33"/>
        <v>2.6551724137931031E-4</v>
      </c>
      <c r="R41" s="52">
        <f t="shared" si="34"/>
        <v>2.4645016682701601E-3</v>
      </c>
      <c r="S41" s="53">
        <f t="shared" si="35"/>
        <v>20.28807715723525</v>
      </c>
      <c r="T41" s="53">
        <f t="shared" si="36"/>
        <v>20.252164928704055</v>
      </c>
      <c r="U41" s="53">
        <f t="shared" si="37"/>
        <v>20.323989385766446</v>
      </c>
      <c r="V41" s="53">
        <f t="shared" si="38"/>
        <v>20.252164928704055</v>
      </c>
      <c r="W41" s="54">
        <f t="shared" si="39"/>
        <v>1</v>
      </c>
      <c r="X41" s="55" t="str">
        <f t="shared" si="40"/>
        <v/>
      </c>
      <c r="Y41" s="55" t="str">
        <f t="shared" si="41"/>
        <v/>
      </c>
      <c r="Z41" s="55">
        <f t="shared" si="42"/>
        <v>-2.6551724137931031E-4</v>
      </c>
      <c r="AA41" s="55" t="str">
        <f t="shared" si="43"/>
        <v/>
      </c>
      <c r="AB41" s="61"/>
      <c r="AC41" s="62"/>
      <c r="AD41" s="63"/>
      <c r="AE41" s="64"/>
      <c r="AF41" s="64"/>
      <c r="AG41" s="73"/>
      <c r="AH41" s="74"/>
      <c r="AI41" s="75">
        <v>0</v>
      </c>
      <c r="AJ41" s="75">
        <v>1.4E-3</v>
      </c>
      <c r="AK41" s="75">
        <v>-3.7000000000000002E-3</v>
      </c>
      <c r="AL41" s="75">
        <v>0</v>
      </c>
      <c r="AM41" s="75">
        <v>-2E-3</v>
      </c>
      <c r="AN41" s="75">
        <v>1.9E-3</v>
      </c>
      <c r="AO41" s="75">
        <v>2E-3</v>
      </c>
      <c r="AP41" s="75">
        <v>-4.7000000000000002E-3</v>
      </c>
      <c r="AQ41" s="75">
        <v>-5.9999999999999995E-4</v>
      </c>
      <c r="AR41" s="75">
        <v>1.1999999999999999E-3</v>
      </c>
      <c r="AS41" s="75">
        <v>-1.6999999999999999E-3</v>
      </c>
      <c r="AT41" s="75">
        <v>3.2000000000000002E-3</v>
      </c>
      <c r="AU41" s="75">
        <v>-2.3E-3</v>
      </c>
      <c r="AV41" s="75">
        <v>-8.0000000000000004E-4</v>
      </c>
      <c r="AW41" s="75">
        <v>4.7999999999999996E-3</v>
      </c>
      <c r="AX41" s="75">
        <v>2.3999999999999998E-3</v>
      </c>
      <c r="AY41" s="75">
        <v>4.0000000000000002E-4</v>
      </c>
      <c r="AZ41" s="75">
        <v>2.3999999999999998E-3</v>
      </c>
      <c r="BA41" s="75">
        <v>2.2000000000000001E-3</v>
      </c>
      <c r="BB41" s="75">
        <v>2.7000000000000001E-3</v>
      </c>
      <c r="BC41" s="75">
        <v>-5.1000000000000004E-3</v>
      </c>
      <c r="BD41" s="75">
        <v>-1.5E-3</v>
      </c>
      <c r="BE41" s="75">
        <v>-4.0000000000000002E-4</v>
      </c>
      <c r="BF41" s="75">
        <v>2E-3</v>
      </c>
      <c r="BG41" s="75">
        <v>2.7000000000000001E-3</v>
      </c>
      <c r="BH41" s="75">
        <v>-1.9E-3</v>
      </c>
      <c r="BI41" s="75">
        <v>-4.0000000000000002E-4</v>
      </c>
      <c r="BJ41" s="75">
        <v>1E-4</v>
      </c>
      <c r="BK41" s="75">
        <v>3.3999999999999998E-3</v>
      </c>
      <c r="BL41" s="75"/>
      <c r="BM41" s="75"/>
      <c r="BN41" s="80"/>
      <c r="BO41" s="81"/>
      <c r="BP41" s="82"/>
      <c r="BQ41" s="82"/>
      <c r="BR41" s="82"/>
      <c r="BS41" s="82"/>
      <c r="BT41" s="82"/>
      <c r="BU41" s="82"/>
      <c r="BV41" s="82"/>
      <c r="BW41" s="82"/>
      <c r="BX41" s="82"/>
      <c r="BY41" s="82"/>
      <c r="BZ41" s="82"/>
      <c r="CA41" s="82"/>
      <c r="CB41" s="82"/>
      <c r="CC41" s="82"/>
      <c r="CD41" s="82"/>
      <c r="CE41" s="82"/>
      <c r="CF41" s="82"/>
      <c r="CG41" s="82"/>
      <c r="CH41" s="82"/>
      <c r="CI41" s="82"/>
      <c r="CJ41" s="82"/>
      <c r="CK41" s="82"/>
      <c r="CL41" s="82"/>
      <c r="CM41" s="82"/>
      <c r="CN41" s="82"/>
      <c r="CO41" s="82"/>
      <c r="CP41" s="82"/>
      <c r="CQ41" s="82"/>
      <c r="CR41" s="82"/>
      <c r="CS41" s="82"/>
      <c r="CT41" s="82"/>
      <c r="CU41" s="82"/>
      <c r="CV41" s="82"/>
      <c r="CW41" s="82"/>
      <c r="CX41" s="82"/>
      <c r="CY41" s="82"/>
      <c r="CZ41" s="82"/>
      <c r="DA41" s="82"/>
      <c r="DB41" s="82"/>
      <c r="DC41" s="82"/>
      <c r="DD41" s="82"/>
      <c r="DE41" s="82"/>
      <c r="DF41" s="82"/>
      <c r="DG41" s="82"/>
      <c r="DH41" s="82"/>
      <c r="DI41" s="82"/>
      <c r="DJ41" s="82"/>
      <c r="DK41" s="82"/>
      <c r="DL41" s="82"/>
      <c r="DM41" s="82"/>
      <c r="DN41" s="82"/>
      <c r="DO41" s="82"/>
      <c r="DP41" s="82"/>
      <c r="DQ41" s="82"/>
      <c r="DR41" s="82"/>
      <c r="DS41" s="82"/>
      <c r="DT41" s="82"/>
      <c r="DU41" s="82"/>
      <c r="DV41" s="82"/>
      <c r="DW41" s="82"/>
      <c r="DX41" s="82"/>
      <c r="DY41" s="82"/>
      <c r="DZ41" s="82"/>
      <c r="EA41" s="82"/>
      <c r="EB41" s="82"/>
      <c r="EC41" s="82"/>
      <c r="ED41" s="82"/>
    </row>
    <row r="42" spans="1:134" ht="15" customHeight="1">
      <c r="A42" s="22"/>
      <c r="B42" s="23"/>
      <c r="C42" s="24" t="s">
        <v>114</v>
      </c>
      <c r="D42" s="23" t="s">
        <v>54</v>
      </c>
      <c r="E42" s="23"/>
      <c r="F42" s="25" t="s">
        <v>50</v>
      </c>
      <c r="G42" s="26">
        <v>0</v>
      </c>
      <c r="H42" s="27">
        <v>0.15</v>
      </c>
      <c r="I42" s="27">
        <v>-0.15</v>
      </c>
      <c r="J42" s="39" t="s">
        <v>51</v>
      </c>
      <c r="K42" s="40" t="s">
        <v>52</v>
      </c>
      <c r="L42" s="41">
        <f t="shared" si="29"/>
        <v>0.15</v>
      </c>
      <c r="M42" s="42">
        <f t="shared" si="30"/>
        <v>-0.15</v>
      </c>
      <c r="N42" s="45"/>
      <c r="O42" s="44">
        <f t="shared" si="31"/>
        <v>-4.3E-3</v>
      </c>
      <c r="P42" s="44">
        <f t="shared" si="32"/>
        <v>-1.1900000000000001E-2</v>
      </c>
      <c r="Q42" s="44">
        <f t="shared" si="33"/>
        <v>-7.0551724137931015E-3</v>
      </c>
      <c r="R42" s="52">
        <f t="shared" si="34"/>
        <v>1.6825971011879548E-3</v>
      </c>
      <c r="S42" s="53">
        <f t="shared" si="35"/>
        <v>29.71596703970236</v>
      </c>
      <c r="T42" s="53">
        <f t="shared" si="36"/>
        <v>31.11364217908698</v>
      </c>
      <c r="U42" s="53">
        <f t="shared" si="37"/>
        <v>28.318291900317735</v>
      </c>
      <c r="V42" s="53">
        <f t="shared" si="38"/>
        <v>28.318291900317735</v>
      </c>
      <c r="W42" s="54">
        <f t="shared" si="39"/>
        <v>1</v>
      </c>
      <c r="X42" s="55" t="str">
        <f t="shared" si="40"/>
        <v/>
      </c>
      <c r="Y42" s="55" t="str">
        <f t="shared" si="41"/>
        <v/>
      </c>
      <c r="Z42" s="55">
        <f t="shared" si="42"/>
        <v>7.0551724137931015E-3</v>
      </c>
      <c r="AA42" s="55" t="str">
        <f t="shared" si="43"/>
        <v/>
      </c>
      <c r="AB42" s="61"/>
      <c r="AC42" s="62"/>
      <c r="AD42" s="63"/>
      <c r="AE42" s="64"/>
      <c r="AF42" s="64"/>
      <c r="AG42" s="73"/>
      <c r="AH42" s="74"/>
      <c r="AI42" s="75">
        <v>-6.7000000000000002E-3</v>
      </c>
      <c r="AJ42" s="75">
        <v>-5.4000000000000003E-3</v>
      </c>
      <c r="AK42" s="75">
        <v>-7.4000000000000003E-3</v>
      </c>
      <c r="AL42" s="75">
        <v>-5.4000000000000003E-3</v>
      </c>
      <c r="AM42" s="75">
        <v>-7.9000000000000008E-3</v>
      </c>
      <c r="AN42" s="75">
        <v>-1.1900000000000001E-2</v>
      </c>
      <c r="AO42" s="75">
        <v>-7.4999999999999997E-3</v>
      </c>
      <c r="AP42" s="75">
        <v>-8.5000000000000006E-3</v>
      </c>
      <c r="AQ42" s="75">
        <v>-6.7999999999999996E-3</v>
      </c>
      <c r="AR42" s="75">
        <v>-5.0000000000000001E-3</v>
      </c>
      <c r="AS42" s="75">
        <v>-8.0000000000000002E-3</v>
      </c>
      <c r="AT42" s="75">
        <v>-7.1000000000000004E-3</v>
      </c>
      <c r="AU42" s="75">
        <v>-4.7000000000000002E-3</v>
      </c>
      <c r="AV42" s="75">
        <v>-7.7000000000000002E-3</v>
      </c>
      <c r="AW42" s="75">
        <v>-6.4000000000000003E-3</v>
      </c>
      <c r="AX42" s="75">
        <v>-7.4999999999999997E-3</v>
      </c>
      <c r="AY42" s="75">
        <v>-8.8000000000000005E-3</v>
      </c>
      <c r="AZ42" s="75">
        <v>-8.6E-3</v>
      </c>
      <c r="BA42" s="75">
        <v>-7.4000000000000003E-3</v>
      </c>
      <c r="BB42" s="75">
        <v>-9.4000000000000004E-3</v>
      </c>
      <c r="BC42" s="75">
        <v>-4.3E-3</v>
      </c>
      <c r="BD42" s="75">
        <v>-8.0999999999999996E-3</v>
      </c>
      <c r="BE42" s="75">
        <v>-6.7000000000000002E-3</v>
      </c>
      <c r="BF42" s="75">
        <v>-6.4999999999999997E-3</v>
      </c>
      <c r="BG42" s="75">
        <v>-8.8999999999999999E-3</v>
      </c>
      <c r="BH42" s="75">
        <v>-4.5999999999999999E-3</v>
      </c>
      <c r="BI42" s="75">
        <v>-6.6E-3</v>
      </c>
      <c r="BJ42" s="75">
        <v>-5.4999999999999997E-3</v>
      </c>
      <c r="BK42" s="75">
        <v>-5.3E-3</v>
      </c>
      <c r="BL42" s="75"/>
      <c r="BM42" s="75"/>
      <c r="BN42" s="80"/>
      <c r="BO42" s="81"/>
      <c r="BP42" s="82"/>
      <c r="BQ42" s="82"/>
      <c r="BR42" s="82"/>
      <c r="BS42" s="82"/>
      <c r="BT42" s="82"/>
      <c r="BU42" s="82"/>
      <c r="BV42" s="82"/>
      <c r="BW42" s="82"/>
      <c r="BX42" s="82"/>
      <c r="BY42" s="82"/>
      <c r="BZ42" s="82"/>
      <c r="CA42" s="82"/>
      <c r="CB42" s="82"/>
      <c r="CC42" s="82"/>
      <c r="CD42" s="82"/>
      <c r="CE42" s="82"/>
      <c r="CF42" s="82"/>
      <c r="CG42" s="82"/>
      <c r="CH42" s="82"/>
      <c r="CI42" s="82"/>
      <c r="CJ42" s="82"/>
      <c r="CK42" s="82"/>
      <c r="CL42" s="82"/>
      <c r="CM42" s="82"/>
      <c r="CN42" s="82"/>
      <c r="CO42" s="82"/>
      <c r="CP42" s="82"/>
      <c r="CQ42" s="82"/>
      <c r="CR42" s="82"/>
      <c r="CS42" s="82"/>
      <c r="CT42" s="82"/>
      <c r="CU42" s="82"/>
      <c r="CV42" s="82"/>
      <c r="CW42" s="82"/>
      <c r="CX42" s="82"/>
      <c r="CY42" s="82"/>
      <c r="CZ42" s="82"/>
      <c r="DA42" s="82"/>
      <c r="DB42" s="82"/>
      <c r="DC42" s="82"/>
      <c r="DD42" s="82"/>
      <c r="DE42" s="82"/>
      <c r="DF42" s="82"/>
      <c r="DG42" s="82"/>
      <c r="DH42" s="82"/>
      <c r="DI42" s="82"/>
      <c r="DJ42" s="82"/>
      <c r="DK42" s="82"/>
      <c r="DL42" s="82"/>
      <c r="DM42" s="82"/>
      <c r="DN42" s="82"/>
      <c r="DO42" s="82"/>
      <c r="DP42" s="82"/>
      <c r="DQ42" s="82"/>
      <c r="DR42" s="82"/>
      <c r="DS42" s="82"/>
      <c r="DT42" s="82"/>
      <c r="DU42" s="82"/>
      <c r="DV42" s="82"/>
      <c r="DW42" s="82"/>
      <c r="DX42" s="82"/>
      <c r="DY42" s="82"/>
      <c r="DZ42" s="82"/>
      <c r="EA42" s="82"/>
      <c r="EB42" s="82"/>
      <c r="EC42" s="82"/>
      <c r="ED42" s="82"/>
    </row>
    <row r="43" spans="1:134" ht="15" customHeight="1">
      <c r="A43" s="22"/>
      <c r="B43" s="23"/>
      <c r="C43" s="24" t="s">
        <v>115</v>
      </c>
      <c r="D43" s="23" t="s">
        <v>54</v>
      </c>
      <c r="E43" s="23"/>
      <c r="F43" s="25" t="s">
        <v>50</v>
      </c>
      <c r="G43" s="26">
        <v>0</v>
      </c>
      <c r="H43" s="27">
        <v>0.15</v>
      </c>
      <c r="I43" s="27">
        <v>-0.15</v>
      </c>
      <c r="J43" s="39" t="s">
        <v>51</v>
      </c>
      <c r="K43" s="40" t="s">
        <v>52</v>
      </c>
      <c r="L43" s="41">
        <f t="shared" si="29"/>
        <v>0.15</v>
      </c>
      <c r="M43" s="42">
        <f t="shared" si="30"/>
        <v>-0.15</v>
      </c>
      <c r="N43" s="43"/>
      <c r="O43" s="44">
        <f t="shared" si="31"/>
        <v>8.9999999999999998E-4</v>
      </c>
      <c r="P43" s="44">
        <f t="shared" si="32"/>
        <v>-1.0500000000000001E-2</v>
      </c>
      <c r="Q43" s="44">
        <f t="shared" si="33"/>
        <v>-5.7827586206896549E-3</v>
      </c>
      <c r="R43" s="52">
        <f t="shared" si="34"/>
        <v>3.0213607347774917E-3</v>
      </c>
      <c r="S43" s="53">
        <f t="shared" si="35"/>
        <v>16.548834908878316</v>
      </c>
      <c r="T43" s="53">
        <f t="shared" si="36"/>
        <v>17.186821027089557</v>
      </c>
      <c r="U43" s="53">
        <f t="shared" si="37"/>
        <v>15.910848790667075</v>
      </c>
      <c r="V43" s="53">
        <f t="shared" si="38"/>
        <v>15.910848790667075</v>
      </c>
      <c r="W43" s="54">
        <f t="shared" si="39"/>
        <v>1</v>
      </c>
      <c r="X43" s="55" t="str">
        <f t="shared" si="40"/>
        <v/>
      </c>
      <c r="Y43" s="55" t="str">
        <f t="shared" si="41"/>
        <v/>
      </c>
      <c r="Z43" s="55">
        <f t="shared" si="42"/>
        <v>5.7827586206896549E-3</v>
      </c>
      <c r="AA43" s="55" t="str">
        <f t="shared" si="43"/>
        <v/>
      </c>
      <c r="AB43" s="61"/>
      <c r="AC43" s="62"/>
      <c r="AD43" s="63"/>
      <c r="AE43" s="64"/>
      <c r="AF43" s="64"/>
      <c r="AG43" s="73"/>
      <c r="AH43" s="74"/>
      <c r="AI43" s="75">
        <v>-7.3000000000000001E-3</v>
      </c>
      <c r="AJ43" s="75">
        <v>-5.8999999999999999E-3</v>
      </c>
      <c r="AK43" s="75">
        <v>-2.9999999999999997E-4</v>
      </c>
      <c r="AL43" s="75">
        <v>-6.7999999999999996E-3</v>
      </c>
      <c r="AM43" s="75">
        <v>-4.0000000000000001E-3</v>
      </c>
      <c r="AN43" s="75">
        <v>-1.0500000000000001E-2</v>
      </c>
      <c r="AO43" s="75">
        <v>-8.6999999999999994E-3</v>
      </c>
      <c r="AP43" s="75">
        <v>8.9999999999999998E-4</v>
      </c>
      <c r="AQ43" s="75">
        <v>-3.3E-3</v>
      </c>
      <c r="AR43" s="75">
        <v>-2.2000000000000001E-3</v>
      </c>
      <c r="AS43" s="75">
        <v>-5.0000000000000001E-3</v>
      </c>
      <c r="AT43" s="75">
        <v>-7.7000000000000002E-3</v>
      </c>
      <c r="AU43" s="75">
        <v>-4.4000000000000003E-3</v>
      </c>
      <c r="AV43" s="75">
        <v>-7.7999999999999996E-3</v>
      </c>
      <c r="AW43" s="75">
        <v>-7.7000000000000002E-3</v>
      </c>
      <c r="AX43" s="75">
        <v>-9.5999999999999992E-3</v>
      </c>
      <c r="AY43" s="75">
        <v>-3.5000000000000001E-3</v>
      </c>
      <c r="AZ43" s="75">
        <v>-9.5999999999999992E-3</v>
      </c>
      <c r="BA43" s="75">
        <v>-7.7999999999999996E-3</v>
      </c>
      <c r="BB43" s="75">
        <v>-8.0999999999999996E-3</v>
      </c>
      <c r="BC43" s="75">
        <v>1E-4</v>
      </c>
      <c r="BD43" s="75">
        <v>-6.1000000000000004E-3</v>
      </c>
      <c r="BE43" s="75">
        <v>-5.3E-3</v>
      </c>
      <c r="BF43" s="75">
        <v>-6.6E-3</v>
      </c>
      <c r="BG43" s="75">
        <v>-7.4999999999999997E-3</v>
      </c>
      <c r="BH43" s="75">
        <v>-1.2999999999999999E-3</v>
      </c>
      <c r="BI43" s="75">
        <v>-7.0000000000000001E-3</v>
      </c>
      <c r="BJ43" s="75">
        <v>-6.4000000000000003E-3</v>
      </c>
      <c r="BK43" s="75">
        <v>-8.3000000000000001E-3</v>
      </c>
      <c r="BL43" s="75"/>
      <c r="BM43" s="75"/>
      <c r="BN43" s="80"/>
      <c r="BO43" s="81"/>
      <c r="BP43" s="82"/>
      <c r="BQ43" s="82"/>
      <c r="BR43" s="82"/>
      <c r="BS43" s="82"/>
      <c r="BT43" s="82"/>
      <c r="BU43" s="82"/>
      <c r="BV43" s="82"/>
      <c r="BW43" s="82"/>
      <c r="BX43" s="82"/>
      <c r="BY43" s="82"/>
      <c r="BZ43" s="82"/>
      <c r="CA43" s="82"/>
      <c r="CB43" s="82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82"/>
      <c r="CP43" s="82"/>
      <c r="CQ43" s="82"/>
      <c r="CR43" s="82"/>
      <c r="CS43" s="82"/>
      <c r="CT43" s="82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2"/>
      <c r="DG43" s="82"/>
      <c r="DH43" s="82"/>
      <c r="DI43" s="82"/>
      <c r="DJ43" s="82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2"/>
      <c r="DZ43" s="82"/>
      <c r="EA43" s="82"/>
      <c r="EB43" s="82"/>
      <c r="EC43" s="82"/>
      <c r="ED43" s="82"/>
    </row>
    <row r="44" spans="1:134" ht="15" customHeight="1">
      <c r="A44" s="22"/>
      <c r="B44" s="29"/>
      <c r="C44" s="24" t="s">
        <v>116</v>
      </c>
      <c r="D44" s="23" t="s">
        <v>54</v>
      </c>
      <c r="E44" s="23"/>
      <c r="F44" s="25" t="s">
        <v>50</v>
      </c>
      <c r="G44" s="26">
        <v>0</v>
      </c>
      <c r="H44" s="27">
        <v>0.15</v>
      </c>
      <c r="I44" s="27">
        <v>-0.15</v>
      </c>
      <c r="J44" s="39" t="s">
        <v>51</v>
      </c>
      <c r="K44" s="40" t="s">
        <v>52</v>
      </c>
      <c r="L44" s="41">
        <f t="shared" si="29"/>
        <v>0.15</v>
      </c>
      <c r="M44" s="42">
        <f t="shared" si="30"/>
        <v>-0.15</v>
      </c>
      <c r="N44" s="43"/>
      <c r="O44" s="44">
        <f t="shared" si="31"/>
        <v>2.8E-3</v>
      </c>
      <c r="P44" s="44">
        <f t="shared" si="32"/>
        <v>-4.1000000000000003E-3</v>
      </c>
      <c r="Q44" s="44">
        <f t="shared" si="33"/>
        <v>-8.6551724137931042E-4</v>
      </c>
      <c r="R44" s="52">
        <f t="shared" si="34"/>
        <v>1.6937439218802836E-3</v>
      </c>
      <c r="S44" s="53">
        <f t="shared" si="35"/>
        <v>29.520401138616791</v>
      </c>
      <c r="T44" s="53">
        <f t="shared" si="36"/>
        <v>29.690737246336166</v>
      </c>
      <c r="U44" s="53">
        <f t="shared" si="37"/>
        <v>29.350065030897415</v>
      </c>
      <c r="V44" s="53">
        <f t="shared" si="38"/>
        <v>29.350065030897415</v>
      </c>
      <c r="W44" s="54">
        <f t="shared" si="39"/>
        <v>1</v>
      </c>
      <c r="X44" s="55" t="str">
        <f t="shared" si="40"/>
        <v/>
      </c>
      <c r="Y44" s="55" t="str">
        <f t="shared" si="41"/>
        <v/>
      </c>
      <c r="Z44" s="55">
        <f t="shared" si="42"/>
        <v>8.6551724137931042E-4</v>
      </c>
      <c r="AA44" s="55" t="str">
        <f t="shared" si="43"/>
        <v/>
      </c>
      <c r="AB44" s="61"/>
      <c r="AC44" s="62"/>
      <c r="AD44" s="63"/>
      <c r="AE44" s="64"/>
      <c r="AF44" s="64"/>
      <c r="AG44" s="73"/>
      <c r="AH44" s="74"/>
      <c r="AI44" s="75">
        <v>1.8E-3</v>
      </c>
      <c r="AJ44" s="75">
        <v>-1.4E-3</v>
      </c>
      <c r="AK44" s="75">
        <v>1.1000000000000001E-3</v>
      </c>
      <c r="AL44" s="75">
        <v>6.9999999999999999E-4</v>
      </c>
      <c r="AM44" s="75">
        <v>-4.0000000000000002E-4</v>
      </c>
      <c r="AN44" s="75">
        <v>1.1000000000000001E-3</v>
      </c>
      <c r="AO44" s="75">
        <v>-5.0000000000000001E-4</v>
      </c>
      <c r="AP44" s="75">
        <v>2.8E-3</v>
      </c>
      <c r="AQ44" s="75">
        <v>-6.9999999999999999E-4</v>
      </c>
      <c r="AR44" s="75">
        <v>-4.1000000000000003E-3</v>
      </c>
      <c r="AS44" s="75">
        <v>2E-3</v>
      </c>
      <c r="AT44" s="75">
        <v>-3.7000000000000002E-3</v>
      </c>
      <c r="AU44" s="75">
        <v>-1.1999999999999999E-3</v>
      </c>
      <c r="AV44" s="75">
        <v>2.9999999999999997E-4</v>
      </c>
      <c r="AW44" s="75">
        <v>-3.8999999999999998E-3</v>
      </c>
      <c r="AX44" s="75">
        <v>2.0000000000000001E-4</v>
      </c>
      <c r="AY44" s="75">
        <v>-1.6000000000000001E-3</v>
      </c>
      <c r="AZ44" s="75">
        <v>-2.0000000000000001E-4</v>
      </c>
      <c r="BA44" s="75">
        <v>-2.2000000000000001E-3</v>
      </c>
      <c r="BB44" s="75">
        <v>-8.0000000000000004E-4</v>
      </c>
      <c r="BC44" s="75">
        <v>-1.9E-3</v>
      </c>
      <c r="BD44" s="75">
        <v>-1E-3</v>
      </c>
      <c r="BE44" s="75">
        <v>-8.0000000000000004E-4</v>
      </c>
      <c r="BF44" s="75">
        <v>-1.6999999999999999E-3</v>
      </c>
      <c r="BG44" s="75">
        <v>-8.9999999999999998E-4</v>
      </c>
      <c r="BH44" s="75">
        <v>-1.8E-3</v>
      </c>
      <c r="BI44" s="75">
        <v>-2.2000000000000001E-3</v>
      </c>
      <c r="BJ44" s="75">
        <v>-1.6000000000000001E-3</v>
      </c>
      <c r="BK44" s="75">
        <v>-2.5000000000000001E-3</v>
      </c>
      <c r="BL44" s="75"/>
      <c r="BM44" s="75"/>
      <c r="BN44" s="80"/>
      <c r="BO44" s="81"/>
      <c r="BP44" s="82"/>
      <c r="BQ44" s="82"/>
      <c r="BR44" s="82"/>
      <c r="BS44" s="82"/>
      <c r="BT44" s="82"/>
      <c r="BU44" s="82"/>
      <c r="BV44" s="82"/>
      <c r="BW44" s="82"/>
      <c r="BX44" s="82"/>
      <c r="BY44" s="82"/>
      <c r="BZ44" s="82"/>
      <c r="CA44" s="82"/>
      <c r="CB44" s="82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82"/>
      <c r="CP44" s="82"/>
      <c r="CQ44" s="82"/>
      <c r="CR44" s="82"/>
      <c r="CS44" s="82"/>
      <c r="CT44" s="82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2"/>
      <c r="DG44" s="82"/>
      <c r="DH44" s="82"/>
      <c r="DI44" s="82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2"/>
      <c r="DZ44" s="82"/>
      <c r="EA44" s="82"/>
      <c r="EB44" s="82"/>
      <c r="EC44" s="82"/>
      <c r="ED44" s="82"/>
    </row>
    <row r="45" spans="1:134" ht="15" customHeight="1">
      <c r="A45" s="22"/>
      <c r="B45" s="29"/>
      <c r="C45" s="24" t="s">
        <v>117</v>
      </c>
      <c r="D45" s="23" t="s">
        <v>54</v>
      </c>
      <c r="E45" s="23"/>
      <c r="F45" s="25" t="s">
        <v>50</v>
      </c>
      <c r="G45" s="26">
        <v>0</v>
      </c>
      <c r="H45" s="27">
        <v>0.15</v>
      </c>
      <c r="I45" s="27">
        <v>-0.15</v>
      </c>
      <c r="J45" s="39" t="s">
        <v>51</v>
      </c>
      <c r="K45" s="40" t="s">
        <v>52</v>
      </c>
      <c r="L45" s="41">
        <f t="shared" si="29"/>
        <v>0.15</v>
      </c>
      <c r="M45" s="42">
        <f t="shared" si="30"/>
        <v>-0.15</v>
      </c>
      <c r="N45" s="43"/>
      <c r="O45" s="44">
        <f t="shared" si="31"/>
        <v>9.4000000000000004E-3</v>
      </c>
      <c r="P45" s="44">
        <f t="shared" si="32"/>
        <v>-2.0999999999999999E-3</v>
      </c>
      <c r="Q45" s="44">
        <f t="shared" si="33"/>
        <v>2.710344827586207E-3</v>
      </c>
      <c r="R45" s="52">
        <f t="shared" si="34"/>
        <v>2.7263718470296491E-3</v>
      </c>
      <c r="S45" s="53">
        <f t="shared" si="35"/>
        <v>18.339391251591167</v>
      </c>
      <c r="T45" s="53">
        <f t="shared" si="36"/>
        <v>18.00801742345897</v>
      </c>
      <c r="U45" s="53">
        <f t="shared" si="37"/>
        <v>18.670765079723367</v>
      </c>
      <c r="V45" s="53">
        <f t="shared" si="38"/>
        <v>18.00801742345897</v>
      </c>
      <c r="W45" s="54">
        <f t="shared" si="39"/>
        <v>1</v>
      </c>
      <c r="X45" s="55" t="str">
        <f t="shared" si="40"/>
        <v/>
      </c>
      <c r="Y45" s="55" t="str">
        <f t="shared" si="41"/>
        <v/>
      </c>
      <c r="Z45" s="55">
        <f t="shared" si="42"/>
        <v>-2.710344827586207E-3</v>
      </c>
      <c r="AA45" s="55" t="str">
        <f t="shared" si="43"/>
        <v/>
      </c>
      <c r="AB45" s="61"/>
      <c r="AC45" s="62"/>
      <c r="AD45" s="63"/>
      <c r="AE45" s="64"/>
      <c r="AF45" s="64"/>
      <c r="AG45" s="73"/>
      <c r="AH45" s="74"/>
      <c r="AI45" s="75">
        <v>3.3999999999999998E-3</v>
      </c>
      <c r="AJ45" s="75">
        <v>1.6999999999999999E-3</v>
      </c>
      <c r="AK45" s="75">
        <v>-2.0999999999999999E-3</v>
      </c>
      <c r="AL45" s="75">
        <v>1.8E-3</v>
      </c>
      <c r="AM45" s="75">
        <v>4.8999999999999998E-3</v>
      </c>
      <c r="AN45" s="75">
        <v>9.4000000000000004E-3</v>
      </c>
      <c r="AO45" s="75">
        <v>7.0000000000000001E-3</v>
      </c>
      <c r="AP45" s="75">
        <v>-1.4E-3</v>
      </c>
      <c r="AQ45" s="75">
        <v>-2.0000000000000001E-4</v>
      </c>
      <c r="AR45" s="75">
        <v>1.2999999999999999E-3</v>
      </c>
      <c r="AS45" s="75">
        <v>1.6000000000000001E-3</v>
      </c>
      <c r="AT45" s="75">
        <v>3.2000000000000002E-3</v>
      </c>
      <c r="AU45" s="75">
        <v>1E-4</v>
      </c>
      <c r="AV45" s="75">
        <v>5.4999999999999997E-3</v>
      </c>
      <c r="AW45" s="75">
        <v>1.1000000000000001E-3</v>
      </c>
      <c r="AX45" s="75">
        <v>3.3999999999999998E-3</v>
      </c>
      <c r="AY45" s="75">
        <v>1.9E-3</v>
      </c>
      <c r="AZ45" s="75">
        <v>5.1999999999999998E-3</v>
      </c>
      <c r="BA45" s="75">
        <v>4.4000000000000003E-3</v>
      </c>
      <c r="BB45" s="75">
        <v>6.1999999999999998E-3</v>
      </c>
      <c r="BC45" s="75">
        <v>-1E-3</v>
      </c>
      <c r="BD45" s="75">
        <v>4.5999999999999999E-3</v>
      </c>
      <c r="BE45" s="75">
        <v>1E-3</v>
      </c>
      <c r="BF45" s="75">
        <v>2.8999999999999998E-3</v>
      </c>
      <c r="BG45" s="75">
        <v>5.0000000000000001E-3</v>
      </c>
      <c r="BH45" s="75">
        <v>-1.2999999999999999E-3</v>
      </c>
      <c r="BI45" s="75">
        <v>3.5999999999999999E-3</v>
      </c>
      <c r="BJ45" s="75">
        <v>1.2999999999999999E-3</v>
      </c>
      <c r="BK45" s="75">
        <v>4.1000000000000003E-3</v>
      </c>
      <c r="BL45" s="75"/>
      <c r="BM45" s="75"/>
      <c r="BN45" s="80"/>
      <c r="BO45" s="81"/>
      <c r="BP45" s="82"/>
      <c r="BQ45" s="82"/>
      <c r="BR45" s="82"/>
      <c r="BS45" s="82"/>
      <c r="BT45" s="82"/>
      <c r="BU45" s="82"/>
      <c r="BV45" s="82"/>
      <c r="BW45" s="82"/>
      <c r="BX45" s="82"/>
      <c r="BY45" s="82"/>
      <c r="BZ45" s="82"/>
      <c r="CA45" s="82"/>
      <c r="CB45" s="82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82"/>
      <c r="CP45" s="82"/>
      <c r="CQ45" s="82"/>
      <c r="CR45" s="82"/>
      <c r="CS45" s="82"/>
      <c r="CT45" s="82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2"/>
      <c r="DG45" s="82"/>
      <c r="DH45" s="82"/>
      <c r="DI45" s="82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2"/>
      <c r="DZ45" s="82"/>
      <c r="EA45" s="82"/>
      <c r="EB45" s="82"/>
      <c r="EC45" s="82"/>
      <c r="ED45" s="82"/>
    </row>
    <row r="46" spans="1:134" ht="15" customHeight="1">
      <c r="A46" s="22"/>
      <c r="B46" s="29"/>
      <c r="C46" s="24" t="s">
        <v>118</v>
      </c>
      <c r="D46" s="23" t="s">
        <v>54</v>
      </c>
      <c r="E46" s="23"/>
      <c r="F46" s="25" t="s">
        <v>50</v>
      </c>
      <c r="G46" s="26">
        <v>0</v>
      </c>
      <c r="H46" s="27">
        <v>0.15</v>
      </c>
      <c r="I46" s="27">
        <v>-0.15</v>
      </c>
      <c r="J46" s="39" t="s">
        <v>51</v>
      </c>
      <c r="K46" s="40" t="s">
        <v>52</v>
      </c>
      <c r="L46" s="41">
        <f t="shared" si="29"/>
        <v>0.15</v>
      </c>
      <c r="M46" s="42">
        <f t="shared" si="30"/>
        <v>-0.15</v>
      </c>
      <c r="N46" s="43"/>
      <c r="O46" s="44">
        <f t="shared" si="31"/>
        <v>2.0299999999999999E-2</v>
      </c>
      <c r="P46" s="44">
        <f t="shared" si="32"/>
        <v>9.1999999999999998E-3</v>
      </c>
      <c r="Q46" s="44">
        <f t="shared" si="33"/>
        <v>1.4382758620689655E-2</v>
      </c>
      <c r="R46" s="52">
        <f t="shared" si="34"/>
        <v>2.3514538003901885E-3</v>
      </c>
      <c r="S46" s="53">
        <f t="shared" si="35"/>
        <v>21.263441361979233</v>
      </c>
      <c r="T46" s="53">
        <f t="shared" si="36"/>
        <v>19.224595064948993</v>
      </c>
      <c r="U46" s="53">
        <f t="shared" si="37"/>
        <v>23.302287659009473</v>
      </c>
      <c r="V46" s="53">
        <f t="shared" si="38"/>
        <v>19.224595064948993</v>
      </c>
      <c r="W46" s="54">
        <f t="shared" si="39"/>
        <v>1</v>
      </c>
      <c r="X46" s="55" t="str">
        <f t="shared" si="40"/>
        <v/>
      </c>
      <c r="Y46" s="55" t="str">
        <f t="shared" si="41"/>
        <v/>
      </c>
      <c r="Z46" s="55">
        <f t="shared" si="42"/>
        <v>-1.4382758620689655E-2</v>
      </c>
      <c r="AA46" s="55" t="str">
        <f t="shared" si="43"/>
        <v/>
      </c>
      <c r="AB46" s="61"/>
      <c r="AC46" s="62"/>
      <c r="AD46" s="63"/>
      <c r="AE46" s="64"/>
      <c r="AF46" s="64"/>
      <c r="AG46" s="73"/>
      <c r="AH46" s="74"/>
      <c r="AI46" s="75">
        <v>1.12E-2</v>
      </c>
      <c r="AJ46" s="75">
        <v>1.3599999999999999E-2</v>
      </c>
      <c r="AK46" s="75">
        <v>1.2500000000000001E-2</v>
      </c>
      <c r="AL46" s="75">
        <v>1.3899999999999999E-2</v>
      </c>
      <c r="AM46" s="75">
        <v>1.09E-2</v>
      </c>
      <c r="AN46" s="75">
        <v>1.5100000000000001E-2</v>
      </c>
      <c r="AO46" s="75">
        <v>1.2500000000000001E-2</v>
      </c>
      <c r="AP46" s="75">
        <v>9.1999999999999998E-3</v>
      </c>
      <c r="AQ46" s="75">
        <v>1.5100000000000001E-2</v>
      </c>
      <c r="AR46" s="75">
        <v>1.35E-2</v>
      </c>
      <c r="AS46" s="75">
        <v>1.32E-2</v>
      </c>
      <c r="AT46" s="75">
        <v>1.9900000000000001E-2</v>
      </c>
      <c r="AU46" s="75">
        <v>1.4200000000000001E-2</v>
      </c>
      <c r="AV46" s="75">
        <v>1.38E-2</v>
      </c>
      <c r="AW46" s="75">
        <v>2.0299999999999999E-2</v>
      </c>
      <c r="AX46" s="75">
        <v>1.6500000000000001E-2</v>
      </c>
      <c r="AY46" s="75">
        <v>1.4800000000000001E-2</v>
      </c>
      <c r="AZ46" s="75">
        <v>1.61E-2</v>
      </c>
      <c r="BA46" s="75">
        <v>1.6299999999999999E-2</v>
      </c>
      <c r="BB46" s="75">
        <v>1.46E-2</v>
      </c>
      <c r="BC46" s="75">
        <v>1.2500000000000001E-2</v>
      </c>
      <c r="BD46" s="75">
        <v>1.47E-2</v>
      </c>
      <c r="BE46" s="75">
        <v>1.6E-2</v>
      </c>
      <c r="BF46" s="75">
        <v>1.47E-2</v>
      </c>
      <c r="BG46" s="75">
        <v>1.37E-2</v>
      </c>
      <c r="BH46" s="75">
        <v>1.1900000000000001E-2</v>
      </c>
      <c r="BI46" s="75">
        <v>1.5800000000000002E-2</v>
      </c>
      <c r="BJ46" s="75">
        <v>1.5900000000000001E-2</v>
      </c>
      <c r="BK46" s="75">
        <v>1.47E-2</v>
      </c>
      <c r="BL46" s="75"/>
      <c r="BM46" s="75"/>
      <c r="BN46" s="80"/>
      <c r="BO46" s="81"/>
      <c r="BP46" s="82"/>
      <c r="BQ46" s="82"/>
      <c r="BR46" s="82"/>
      <c r="BS46" s="82"/>
      <c r="BT46" s="82"/>
      <c r="BU46" s="82"/>
      <c r="BV46" s="82"/>
      <c r="BW46" s="82"/>
      <c r="BX46" s="82"/>
      <c r="BY46" s="82"/>
      <c r="BZ46" s="82"/>
      <c r="CA46" s="82"/>
      <c r="CB46" s="82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82"/>
      <c r="CP46" s="82"/>
      <c r="CQ46" s="82"/>
      <c r="CR46" s="82"/>
      <c r="CS46" s="82"/>
      <c r="CT46" s="82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2"/>
      <c r="DG46" s="82"/>
      <c r="DH46" s="82"/>
      <c r="DI46" s="82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2"/>
      <c r="DZ46" s="82"/>
      <c r="EA46" s="82"/>
      <c r="EB46" s="82"/>
      <c r="EC46" s="82"/>
      <c r="ED46" s="82"/>
    </row>
    <row r="47" spans="1:134" ht="15" customHeight="1">
      <c r="A47" s="22"/>
      <c r="B47" s="29"/>
      <c r="C47" s="24" t="s">
        <v>119</v>
      </c>
      <c r="D47" s="23" t="s">
        <v>54</v>
      </c>
      <c r="E47" s="23"/>
      <c r="F47" s="25" t="s">
        <v>50</v>
      </c>
      <c r="G47" s="26">
        <v>0</v>
      </c>
      <c r="H47" s="27">
        <v>0.15</v>
      </c>
      <c r="I47" s="27">
        <v>-0.15</v>
      </c>
      <c r="J47" s="39" t="s">
        <v>51</v>
      </c>
      <c r="K47" s="40" t="s">
        <v>52</v>
      </c>
      <c r="L47" s="41">
        <f t="shared" si="29"/>
        <v>0.15</v>
      </c>
      <c r="M47" s="42">
        <f t="shared" si="30"/>
        <v>-0.15</v>
      </c>
      <c r="N47" s="43"/>
      <c r="O47" s="44">
        <f t="shared" si="31"/>
        <v>1.6999999999999999E-3</v>
      </c>
      <c r="P47" s="44">
        <f t="shared" si="32"/>
        <v>-7.6E-3</v>
      </c>
      <c r="Q47" s="44">
        <f t="shared" si="33"/>
        <v>-2.3482758620689652E-3</v>
      </c>
      <c r="R47" s="52">
        <f t="shared" si="34"/>
        <v>1.7939622327715927E-3</v>
      </c>
      <c r="S47" s="53">
        <f t="shared" si="35"/>
        <v>27.871266789575721</v>
      </c>
      <c r="T47" s="53">
        <f t="shared" si="36"/>
        <v>28.307596276557351</v>
      </c>
      <c r="U47" s="53">
        <f t="shared" si="37"/>
        <v>27.434937302594086</v>
      </c>
      <c r="V47" s="53">
        <f t="shared" si="38"/>
        <v>27.434937302594086</v>
      </c>
      <c r="W47" s="54">
        <f t="shared" si="39"/>
        <v>1</v>
      </c>
      <c r="X47" s="55" t="str">
        <f t="shared" si="40"/>
        <v/>
      </c>
      <c r="Y47" s="55" t="str">
        <f t="shared" si="41"/>
        <v/>
      </c>
      <c r="Z47" s="55">
        <f t="shared" si="42"/>
        <v>2.3482758620689652E-3</v>
      </c>
      <c r="AA47" s="55" t="str">
        <f t="shared" si="43"/>
        <v/>
      </c>
      <c r="AB47" s="61"/>
      <c r="AC47" s="62"/>
      <c r="AD47" s="63"/>
      <c r="AE47" s="64"/>
      <c r="AF47" s="64"/>
      <c r="AG47" s="73"/>
      <c r="AH47" s="74"/>
      <c r="AI47" s="75">
        <v>-2.5999999999999999E-3</v>
      </c>
      <c r="AJ47" s="75">
        <v>-5.9999999999999995E-4</v>
      </c>
      <c r="AK47" s="75">
        <v>-1.6000000000000001E-3</v>
      </c>
      <c r="AL47" s="75">
        <v>-3.2000000000000002E-3</v>
      </c>
      <c r="AM47" s="75">
        <v>-4.1999999999999997E-3</v>
      </c>
      <c r="AN47" s="75">
        <v>-7.6E-3</v>
      </c>
      <c r="AO47" s="75">
        <v>-4.7999999999999996E-3</v>
      </c>
      <c r="AP47" s="75">
        <v>-2.8E-3</v>
      </c>
      <c r="AQ47" s="75">
        <v>-3.0999999999999999E-3</v>
      </c>
      <c r="AR47" s="75">
        <v>-1.6000000000000001E-3</v>
      </c>
      <c r="AS47" s="75">
        <v>-3.8999999999999998E-3</v>
      </c>
      <c r="AT47" s="75">
        <v>-2.5000000000000001E-3</v>
      </c>
      <c r="AU47" s="75">
        <v>-1E-4</v>
      </c>
      <c r="AV47" s="75">
        <v>-4.4999999999999997E-3</v>
      </c>
      <c r="AW47" s="75">
        <v>-1E-3</v>
      </c>
      <c r="AX47" s="75">
        <v>-2.2000000000000001E-3</v>
      </c>
      <c r="AY47" s="75">
        <v>-1.2999999999999999E-3</v>
      </c>
      <c r="AZ47" s="75">
        <v>-3.0000000000000001E-3</v>
      </c>
      <c r="BA47" s="75">
        <v>-2.5000000000000001E-3</v>
      </c>
      <c r="BB47" s="75">
        <v>-4.1999999999999997E-3</v>
      </c>
      <c r="BC47" s="75">
        <v>-1.4E-3</v>
      </c>
      <c r="BD47" s="75">
        <v>-3.2000000000000002E-3</v>
      </c>
      <c r="BE47" s="75">
        <v>-2.7000000000000001E-3</v>
      </c>
      <c r="BF47" s="75">
        <v>-1.2999999999999999E-3</v>
      </c>
      <c r="BG47" s="75">
        <v>-1.8E-3</v>
      </c>
      <c r="BH47" s="75">
        <v>1.6999999999999999E-3</v>
      </c>
      <c r="BI47" s="75">
        <v>-2.9999999999999997E-4</v>
      </c>
      <c r="BJ47" s="75">
        <v>-4.0000000000000002E-4</v>
      </c>
      <c r="BK47" s="75">
        <v>-1.4E-3</v>
      </c>
      <c r="BL47" s="75"/>
      <c r="BM47" s="75"/>
      <c r="BN47" s="80"/>
      <c r="BO47" s="81"/>
      <c r="BP47" s="82"/>
      <c r="BQ47" s="82"/>
      <c r="BR47" s="82"/>
      <c r="BS47" s="82"/>
      <c r="BT47" s="82"/>
      <c r="BU47" s="82"/>
      <c r="BV47" s="82"/>
      <c r="BW47" s="82"/>
      <c r="BX47" s="82"/>
      <c r="BY47" s="82"/>
      <c r="BZ47" s="82"/>
      <c r="CA47" s="82"/>
      <c r="CB47" s="82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82"/>
      <c r="CP47" s="82"/>
      <c r="CQ47" s="82"/>
      <c r="CR47" s="82"/>
      <c r="CS47" s="82"/>
      <c r="CT47" s="82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2"/>
      <c r="DG47" s="82"/>
      <c r="DH47" s="82"/>
      <c r="DI47" s="82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2"/>
      <c r="DZ47" s="82"/>
      <c r="EA47" s="82"/>
      <c r="EB47" s="82"/>
      <c r="EC47" s="82"/>
      <c r="ED47" s="82"/>
    </row>
    <row r="48" spans="1:134" ht="15" customHeight="1">
      <c r="A48" s="22"/>
      <c r="B48" s="29" t="s">
        <v>49</v>
      </c>
      <c r="C48" s="30" t="s">
        <v>120</v>
      </c>
      <c r="D48" s="31"/>
      <c r="E48" s="23">
        <v>1.33</v>
      </c>
      <c r="F48" s="25" t="s">
        <v>53</v>
      </c>
      <c r="G48" s="26"/>
      <c r="H48" s="27">
        <v>0.06</v>
      </c>
      <c r="I48" s="27"/>
      <c r="J48" s="39" t="s">
        <v>51</v>
      </c>
      <c r="K48" s="40" t="s">
        <v>52</v>
      </c>
      <c r="L48" s="41">
        <f t="shared" si="29"/>
        <v>0.06</v>
      </c>
      <c r="M48" s="42" t="str">
        <f t="shared" si="30"/>
        <v/>
      </c>
      <c r="N48" s="43"/>
      <c r="O48" s="44">
        <f t="shared" si="31"/>
        <v>7.8399999999999997E-2</v>
      </c>
      <c r="P48" s="44">
        <f t="shared" si="32"/>
        <v>5.74E-2</v>
      </c>
      <c r="Q48" s="44">
        <f t="shared" si="33"/>
        <v>6.8572413793103457E-2</v>
      </c>
      <c r="R48" s="52">
        <f t="shared" si="34"/>
        <v>5.5205393468213734E-3</v>
      </c>
      <c r="S48" s="53">
        <f t="shared" si="35"/>
        <v>-0.51760726350281339</v>
      </c>
      <c r="T48" s="53">
        <f t="shared" si="36"/>
        <v>-0.51760726350281339</v>
      </c>
      <c r="U48" s="53" t="str">
        <f t="shared" si="37"/>
        <v/>
      </c>
      <c r="V48" s="53">
        <f t="shared" si="38"/>
        <v>-0.51760726350281339</v>
      </c>
      <c r="W48" s="54">
        <f t="shared" si="39"/>
        <v>6.0232857680581592E-2</v>
      </c>
      <c r="X48" s="55">
        <f t="shared" si="40"/>
        <v>9.0599365786920738E-2</v>
      </c>
      <c r="Y48" s="55" t="str">
        <f t="shared" si="41"/>
        <v/>
      </c>
      <c r="Z48" s="55" t="str">
        <f t="shared" si="42"/>
        <v/>
      </c>
      <c r="AA48" s="55">
        <f t="shared" si="43"/>
        <v>4.9684854121392362E-2</v>
      </c>
      <c r="AB48" s="61"/>
      <c r="AC48" s="62"/>
      <c r="AD48" s="63"/>
      <c r="AE48" s="64"/>
      <c r="AF48" s="64"/>
      <c r="AG48" s="73"/>
      <c r="AH48" s="74"/>
      <c r="AI48" s="75">
        <v>6.7000000000000004E-2</v>
      </c>
      <c r="AJ48" s="75">
        <v>6.5799999999999997E-2</v>
      </c>
      <c r="AK48" s="75">
        <v>6.5799999999999997E-2</v>
      </c>
      <c r="AL48" s="75">
        <v>6.3200000000000006E-2</v>
      </c>
      <c r="AM48" s="75">
        <v>6.0400000000000002E-2</v>
      </c>
      <c r="AN48" s="75">
        <v>7.8399999999999997E-2</v>
      </c>
      <c r="AO48" s="75">
        <v>6.8000000000000005E-2</v>
      </c>
      <c r="AP48" s="75">
        <v>5.8200000000000002E-2</v>
      </c>
      <c r="AQ48" s="75">
        <v>6.7400000000000002E-2</v>
      </c>
      <c r="AR48" s="75">
        <v>7.1199999999999999E-2</v>
      </c>
      <c r="AS48" s="75">
        <v>7.2800000000000004E-2</v>
      </c>
      <c r="AT48" s="75">
        <v>6.8400000000000002E-2</v>
      </c>
      <c r="AU48" s="75">
        <v>5.74E-2</v>
      </c>
      <c r="AV48" s="75">
        <v>6.5600000000000006E-2</v>
      </c>
      <c r="AW48" s="75">
        <v>7.0800000000000002E-2</v>
      </c>
      <c r="AX48" s="75">
        <v>7.8200000000000006E-2</v>
      </c>
      <c r="AY48" s="75">
        <v>7.6399999999999996E-2</v>
      </c>
      <c r="AZ48" s="75">
        <v>6.9000000000000006E-2</v>
      </c>
      <c r="BA48" s="75">
        <v>7.0599999999999996E-2</v>
      </c>
      <c r="BB48" s="75">
        <v>7.5800000000000006E-2</v>
      </c>
      <c r="BC48" s="75">
        <v>6.54E-2</v>
      </c>
      <c r="BD48" s="75">
        <v>6.9800000000000001E-2</v>
      </c>
      <c r="BE48" s="75">
        <v>5.8400000000000001E-2</v>
      </c>
      <c r="BF48" s="75">
        <v>6.9000000000000006E-2</v>
      </c>
      <c r="BG48" s="75">
        <v>7.2800000000000004E-2</v>
      </c>
      <c r="BH48" s="75">
        <v>7.1800000000000003E-2</v>
      </c>
      <c r="BI48" s="75">
        <v>6.8400000000000002E-2</v>
      </c>
      <c r="BJ48" s="75">
        <v>7.0400000000000004E-2</v>
      </c>
      <c r="BK48" s="75">
        <v>7.22E-2</v>
      </c>
      <c r="BL48" s="75"/>
      <c r="BM48" s="75"/>
      <c r="BN48" s="80"/>
      <c r="BO48" s="81"/>
      <c r="BP48" s="82"/>
      <c r="BQ48" s="82"/>
      <c r="BR48" s="82"/>
      <c r="BS48" s="82"/>
      <c r="BT48" s="82"/>
      <c r="BU48" s="82"/>
      <c r="BV48" s="82"/>
      <c r="BW48" s="82"/>
      <c r="BX48" s="82"/>
      <c r="BY48" s="82"/>
      <c r="BZ48" s="82"/>
      <c r="CA48" s="82"/>
      <c r="CB48" s="82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82"/>
      <c r="CO48" s="82"/>
      <c r="CP48" s="82"/>
      <c r="CQ48" s="82"/>
      <c r="CR48" s="82"/>
      <c r="CS48" s="82"/>
      <c r="CT48" s="82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2"/>
      <c r="DG48" s="82"/>
      <c r="DH48" s="82"/>
      <c r="DI48" s="82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2"/>
      <c r="DZ48" s="82"/>
      <c r="EA48" s="82"/>
      <c r="EB48" s="82"/>
      <c r="EC48" s="82"/>
      <c r="ED48" s="82"/>
    </row>
    <row r="49" spans="1:134" ht="15" customHeight="1">
      <c r="A49" s="22"/>
      <c r="B49" s="29"/>
      <c r="C49" s="30" t="s">
        <v>121</v>
      </c>
      <c r="D49" s="23" t="s">
        <v>54</v>
      </c>
      <c r="E49" s="23"/>
      <c r="F49" s="25" t="s">
        <v>50</v>
      </c>
      <c r="G49" s="26">
        <v>1.7549999999999999</v>
      </c>
      <c r="H49" s="27">
        <v>0.15</v>
      </c>
      <c r="I49" s="27">
        <v>-0.15</v>
      </c>
      <c r="J49" s="39" t="s">
        <v>51</v>
      </c>
      <c r="K49" s="40" t="s">
        <v>52</v>
      </c>
      <c r="L49" s="41">
        <f t="shared" si="29"/>
        <v>1.9049999999999998</v>
      </c>
      <c r="M49" s="42">
        <f t="shared" si="30"/>
        <v>1.605</v>
      </c>
      <c r="N49" s="43"/>
      <c r="O49" s="44">
        <f t="shared" si="31"/>
        <v>1.7262999999999999</v>
      </c>
      <c r="P49" s="44">
        <f t="shared" si="32"/>
        <v>1.7159</v>
      </c>
      <c r="Q49" s="44">
        <f t="shared" si="33"/>
        <v>1.7209310344827584</v>
      </c>
      <c r="R49" s="52">
        <f t="shared" si="34"/>
        <v>2.604817439212509E-3</v>
      </c>
      <c r="S49" s="53">
        <f t="shared" si="35"/>
        <v>19.19520318288258</v>
      </c>
      <c r="T49" s="53">
        <f t="shared" si="36"/>
        <v>23.554941285109702</v>
      </c>
      <c r="U49" s="53">
        <f t="shared" si="37"/>
        <v>14.835465080655432</v>
      </c>
      <c r="V49" s="53">
        <f t="shared" si="38"/>
        <v>14.835465080655432</v>
      </c>
      <c r="W49" s="54">
        <f t="shared" si="39"/>
        <v>1</v>
      </c>
      <c r="X49" s="55" t="str">
        <f t="shared" si="40"/>
        <v/>
      </c>
      <c r="Y49" s="55" t="str">
        <f t="shared" si="41"/>
        <v/>
      </c>
      <c r="Z49" s="55">
        <f t="shared" si="42"/>
        <v>3.4068965517241478E-2</v>
      </c>
      <c r="AA49" s="55" t="str">
        <f t="shared" ref="AA49:AA58" si="58">IF(OR($S49&gt;$AA$9,$R49=""),"",$AA$9*6*$R49)</f>
        <v/>
      </c>
      <c r="AB49" s="61"/>
      <c r="AC49" s="62"/>
      <c r="AD49" s="63"/>
      <c r="AE49" s="64"/>
      <c r="AF49" s="64"/>
      <c r="AG49" s="73"/>
      <c r="AH49" s="74"/>
      <c r="AI49" s="75">
        <v>1.7215</v>
      </c>
      <c r="AJ49" s="75">
        <v>1.7221000000000002</v>
      </c>
      <c r="AK49" s="75">
        <v>1.7221</v>
      </c>
      <c r="AL49" s="75">
        <v>1.7234</v>
      </c>
      <c r="AM49" s="75">
        <v>1.7248000000000001</v>
      </c>
      <c r="AN49" s="75">
        <v>1.7195</v>
      </c>
      <c r="AO49" s="75">
        <v>1.7223999999999999</v>
      </c>
      <c r="AP49" s="75">
        <v>1.7259</v>
      </c>
      <c r="AQ49" s="75">
        <v>1.7213000000000001</v>
      </c>
      <c r="AR49" s="75">
        <v>1.7193999999999998</v>
      </c>
      <c r="AS49" s="75">
        <v>1.7191999999999998</v>
      </c>
      <c r="AT49" s="75">
        <v>1.7208000000000001</v>
      </c>
      <c r="AU49" s="75">
        <v>1.7262999999999999</v>
      </c>
      <c r="AV49" s="75">
        <v>1.7222</v>
      </c>
      <c r="AW49" s="75">
        <v>1.7196</v>
      </c>
      <c r="AX49" s="75">
        <v>1.7159</v>
      </c>
      <c r="AY49" s="75">
        <v>1.7168000000000001</v>
      </c>
      <c r="AZ49" s="75">
        <v>1.7210999999999999</v>
      </c>
      <c r="BA49" s="75">
        <v>1.7197</v>
      </c>
      <c r="BB49" s="75">
        <v>1.7171000000000001</v>
      </c>
      <c r="BC49" s="75">
        <v>1.7222999999999999</v>
      </c>
      <c r="BD49" s="75">
        <v>1.7201</v>
      </c>
      <c r="BE49" s="75">
        <v>1.7258</v>
      </c>
      <c r="BF49" s="75">
        <v>1.7204999999999999</v>
      </c>
      <c r="BG49" s="75">
        <v>1.7185999999999999</v>
      </c>
      <c r="BH49" s="75">
        <v>1.7191000000000001</v>
      </c>
      <c r="BI49" s="75">
        <v>1.7208000000000001</v>
      </c>
      <c r="BJ49" s="75">
        <v>1.7198</v>
      </c>
      <c r="BK49" s="75">
        <v>1.7189000000000001</v>
      </c>
      <c r="BL49" s="75"/>
      <c r="BM49" s="75"/>
      <c r="BN49" s="80"/>
      <c r="BO49" s="81"/>
      <c r="BP49" s="82"/>
      <c r="BQ49" s="82"/>
      <c r="BR49" s="82"/>
      <c r="BS49" s="82"/>
      <c r="BT49" s="82"/>
      <c r="BU49" s="82"/>
      <c r="BV49" s="82"/>
      <c r="BW49" s="82"/>
      <c r="BX49" s="82"/>
      <c r="BY49" s="82"/>
      <c r="BZ49" s="82"/>
      <c r="CA49" s="82"/>
      <c r="CB49" s="82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82"/>
      <c r="CP49" s="82"/>
      <c r="CQ49" s="82"/>
      <c r="CR49" s="82"/>
      <c r="CS49" s="82"/>
      <c r="CT49" s="82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2"/>
      <c r="DG49" s="82"/>
      <c r="DH49" s="82"/>
      <c r="DI49" s="82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2"/>
      <c r="DZ49" s="82"/>
      <c r="EA49" s="82"/>
      <c r="EB49" s="82"/>
      <c r="EC49" s="82"/>
      <c r="ED49" s="82"/>
    </row>
    <row r="50" spans="1:134" ht="15" customHeight="1">
      <c r="A50" s="22"/>
      <c r="B50" s="29"/>
      <c r="C50" s="30" t="s">
        <v>122</v>
      </c>
      <c r="D50" s="23" t="s">
        <v>54</v>
      </c>
      <c r="E50" s="23"/>
      <c r="F50" s="25" t="s">
        <v>50</v>
      </c>
      <c r="G50" s="26">
        <v>1.7549999999999999</v>
      </c>
      <c r="H50" s="27">
        <v>0.15</v>
      </c>
      <c r="I50" s="27">
        <v>-0.15</v>
      </c>
      <c r="J50" s="39" t="s">
        <v>51</v>
      </c>
      <c r="K50" s="40" t="s">
        <v>52</v>
      </c>
      <c r="L50" s="41">
        <f t="shared" si="29"/>
        <v>1.9049999999999998</v>
      </c>
      <c r="M50" s="42">
        <f t="shared" si="30"/>
        <v>1.605</v>
      </c>
      <c r="N50" s="43"/>
      <c r="O50" s="44">
        <f t="shared" ref="O50:O58" si="59">IF(OR($AI50="",ISNUMBER($AI50)=FALSE),"",MAX(AI50:ED50))</f>
        <v>1.7495000000000001</v>
      </c>
      <c r="P50" s="44">
        <f t="shared" ref="P50:P58" si="60">IF(OR($AI50="",ISNUMBER($AI50)=FALSE),"",MIN(AI50:ED50))</f>
        <v>1.7370999999999999</v>
      </c>
      <c r="Q50" s="44">
        <f t="shared" ref="Q50:Q58" si="61">IF(OR($AI50="",ISNUMBER($AI50)=FALSE),"",AVERAGE(AI50:ED50))</f>
        <v>1.7443965517241382</v>
      </c>
      <c r="R50" s="52">
        <f t="shared" ref="R50:R58" si="62">IF(OR($AI50="",ISNUMBER($AI50)=FALSE),"",STDEV(AI50:ED50))</f>
        <v>3.3835191695102537E-3</v>
      </c>
      <c r="S50" s="53">
        <f t="shared" ref="S50:S58" si="63">IF(OR($AI50="",ISNUMBER($AI50)=FALSE),"",IF(AND(G50=0,I50=0),T50,IF(AND(G50="",H50=""),U50,(H50+ABS(I50))/(6*R50))))</f>
        <v>14.77751343942799</v>
      </c>
      <c r="T50" s="53">
        <f t="shared" ref="T50:T58" si="64">IF(OR($AI50="",ISNUMBER($AI50)=FALSE),"",IF(H50="","",(L50-Q50)/(3*R50)))</f>
        <v>15.822130768766819</v>
      </c>
      <c r="U50" s="53">
        <f t="shared" ref="U50:U58" si="65">IF(OR($AI50="",ISNUMBER($AI50)=FALSE),"",IF(I50="","",(Q50-M50)/(3*R50)))</f>
        <v>13.732896110089143</v>
      </c>
      <c r="V50" s="53">
        <f t="shared" ref="V50:V58" si="66">IF(OR($AI50="",ISNUMBER($AI50)=FALSE),"",IF(AND(G50=0,I50=0),((H50)-(Q50))/(3*R50),MIN(T50:U50)))</f>
        <v>13.732896110089143</v>
      </c>
      <c r="W50" s="54">
        <f t="shared" ref="W50:W58" si="67">IF(OR($AI50="",ISNUMBER($AI50)=FALSE),"",IF(AND(G50=0,I50=0),NORMSDIST(3*V50),NORMSDIST(3*V50)+NORMSDIST(6*S50-3*V50)-1))</f>
        <v>1</v>
      </c>
      <c r="X50" s="55" t="str">
        <f t="shared" ref="X50:X58" si="68">IF($Q50="","",IF(F50="Tolerance",IF(($E50*3*R50+Q50)-G50&lt;H50,"",($E50*3*R50+Q50)-G50),IF(OR(F50="GD&amp;T",F50="MAX"),IF(($E50*3*R50+Q50)&lt;H50,"",($E50*3*R50+Q50)),"")))</f>
        <v/>
      </c>
      <c r="Y50" s="55" t="str">
        <f t="shared" ref="Y50:Y58" si="69">IF(Q50="","",IF(F50="Tolerance",IF(-(($E50*3*R50)-Q50)-G50&gt;I50,"",-(($E50*3*R50)-Q50)-G50),IF(F50="MIN",IF(-(($E50*3*R50)-Q50)&gt;I50,"",-(($E50*3*R50)-Q50)),"")))</f>
        <v/>
      </c>
      <c r="Z50" s="55">
        <f t="shared" ref="Z50:Z58" si="70">IF(OR(G50="",Q50=""),"",(L50+M50)/2-Q50)</f>
        <v>1.0603448275861682E-2</v>
      </c>
      <c r="AA50" s="55" t="str">
        <f t="shared" si="58"/>
        <v/>
      </c>
      <c r="AB50" s="61"/>
      <c r="AC50" s="62"/>
      <c r="AD50" s="63"/>
      <c r="AE50" s="64"/>
      <c r="AF50" s="64"/>
      <c r="AG50" s="73"/>
      <c r="AH50" s="74"/>
      <c r="AI50" s="75">
        <v>1.7442</v>
      </c>
      <c r="AJ50" s="75">
        <v>1.7433000000000001</v>
      </c>
      <c r="AK50" s="75">
        <v>1.7463</v>
      </c>
      <c r="AL50" s="75">
        <v>1.7481</v>
      </c>
      <c r="AM50" s="75">
        <v>1.7473999999999998</v>
      </c>
      <c r="AN50" s="75">
        <v>1.7495000000000001</v>
      </c>
      <c r="AO50" s="75">
        <v>1.7425999999999999</v>
      </c>
      <c r="AP50" s="75">
        <v>1.7476</v>
      </c>
      <c r="AQ50" s="75">
        <v>1.7415</v>
      </c>
      <c r="AR50" s="75">
        <v>1.7370999999999999</v>
      </c>
      <c r="AS50" s="75">
        <v>1.7433000000000001</v>
      </c>
      <c r="AT50" s="75">
        <v>1.7484999999999999</v>
      </c>
      <c r="AU50" s="75">
        <v>1.7468999999999999</v>
      </c>
      <c r="AV50" s="75">
        <v>1.7489000000000001</v>
      </c>
      <c r="AW50" s="75">
        <v>1.7403</v>
      </c>
      <c r="AX50" s="75">
        <v>1.7422</v>
      </c>
      <c r="AY50" s="75">
        <v>1.7436</v>
      </c>
      <c r="AZ50" s="75">
        <v>1.7479</v>
      </c>
      <c r="BA50" s="75">
        <v>1.7447000000000001</v>
      </c>
      <c r="BB50" s="75">
        <v>1.7419</v>
      </c>
      <c r="BC50" s="75">
        <v>1.7441</v>
      </c>
      <c r="BD50" s="75">
        <v>1.7473999999999998</v>
      </c>
      <c r="BE50" s="75">
        <v>1.7481</v>
      </c>
      <c r="BF50" s="75">
        <v>1.7421</v>
      </c>
      <c r="BG50" s="75">
        <v>1.7405999999999999</v>
      </c>
      <c r="BH50" s="75">
        <v>1.7391000000000001</v>
      </c>
      <c r="BI50" s="75">
        <v>1.7473000000000001</v>
      </c>
      <c r="BJ50" s="75">
        <v>1.7438</v>
      </c>
      <c r="BK50" s="75">
        <v>1.7392000000000001</v>
      </c>
      <c r="BL50" s="75"/>
      <c r="BM50" s="75"/>
      <c r="BN50" s="80"/>
      <c r="BO50" s="81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82"/>
      <c r="EA50" s="82"/>
      <c r="EB50" s="82"/>
      <c r="EC50" s="82"/>
      <c r="ED50" s="82"/>
    </row>
    <row r="51" spans="1:134" ht="15" customHeight="1">
      <c r="A51" s="22"/>
      <c r="B51" s="29"/>
      <c r="C51" s="30" t="s">
        <v>123</v>
      </c>
      <c r="D51" s="23" t="s">
        <v>54</v>
      </c>
      <c r="E51" s="23"/>
      <c r="F51" s="25" t="s">
        <v>50</v>
      </c>
      <c r="G51" s="26">
        <v>1.7549999999999999</v>
      </c>
      <c r="H51" s="27">
        <v>0.15</v>
      </c>
      <c r="I51" s="27">
        <v>-0.15</v>
      </c>
      <c r="J51" s="39" t="s">
        <v>51</v>
      </c>
      <c r="K51" s="40" t="s">
        <v>52</v>
      </c>
      <c r="L51" s="41">
        <f t="shared" ref="L51" si="71">IF(AND(G51="",H51=""),"",IF(G51="",H51,G51+H51))</f>
        <v>1.9049999999999998</v>
      </c>
      <c r="M51" s="42">
        <f t="shared" ref="M51" si="72">IF(AND(G51="",I51=""),"",IF(G51="",I51,G51+I51))</f>
        <v>1.605</v>
      </c>
      <c r="N51" s="43"/>
      <c r="O51" s="44">
        <f t="shared" si="59"/>
        <v>1.7626999999999999</v>
      </c>
      <c r="P51" s="44">
        <f t="shared" si="60"/>
        <v>1.7422</v>
      </c>
      <c r="Q51" s="44">
        <f t="shared" si="61"/>
        <v>1.7546724137931029</v>
      </c>
      <c r="R51" s="52">
        <f t="shared" si="62"/>
        <v>4.4987217670073697E-3</v>
      </c>
      <c r="S51" s="53">
        <f t="shared" si="63"/>
        <v>11.11426813871641</v>
      </c>
      <c r="T51" s="53">
        <f t="shared" si="64"/>
        <v>11.138540678329726</v>
      </c>
      <c r="U51" s="53">
        <f t="shared" si="65"/>
        <v>11.089995599103082</v>
      </c>
      <c r="V51" s="53">
        <f t="shared" si="66"/>
        <v>11.089995599103082</v>
      </c>
      <c r="W51" s="54">
        <f t="shared" si="67"/>
        <v>1</v>
      </c>
      <c r="X51" s="55" t="str">
        <f t="shared" si="68"/>
        <v/>
      </c>
      <c r="Y51" s="55" t="str">
        <f t="shared" si="69"/>
        <v/>
      </c>
      <c r="Z51" s="55">
        <f t="shared" si="70"/>
        <v>3.2758620689699036E-4</v>
      </c>
      <c r="AA51" s="55" t="str">
        <f t="shared" si="58"/>
        <v/>
      </c>
      <c r="AB51" s="61"/>
      <c r="AC51" s="62"/>
      <c r="AD51" s="63"/>
      <c r="AE51" s="65"/>
      <c r="AF51" s="65"/>
      <c r="AG51" s="77"/>
      <c r="AH51" s="74"/>
      <c r="AI51" s="75">
        <v>1.7530999999999999</v>
      </c>
      <c r="AJ51" s="75">
        <v>1.7526999999999999</v>
      </c>
      <c r="AK51" s="75">
        <v>1.7526999999999999</v>
      </c>
      <c r="AL51" s="75">
        <v>1.7524</v>
      </c>
      <c r="AM51" s="75">
        <v>1.7566000000000002</v>
      </c>
      <c r="AN51" s="75">
        <v>1.7626999999999999</v>
      </c>
      <c r="AO51" s="75">
        <v>1.7536</v>
      </c>
      <c r="AP51" s="75">
        <v>1.7534000000000001</v>
      </c>
      <c r="AQ51" s="75">
        <v>1.7508000000000001</v>
      </c>
      <c r="AR51" s="75">
        <v>1.7422</v>
      </c>
      <c r="AS51" s="75">
        <v>1.7507999999999999</v>
      </c>
      <c r="AT51" s="75">
        <v>1.7584</v>
      </c>
      <c r="AU51" s="75">
        <v>1.7595999999999998</v>
      </c>
      <c r="AV51" s="75">
        <v>1.7597</v>
      </c>
      <c r="AW51" s="75">
        <v>1.7533999999999998</v>
      </c>
      <c r="AX51" s="75">
        <v>1.7551999999999999</v>
      </c>
      <c r="AY51" s="75">
        <v>1.7527000000000001</v>
      </c>
      <c r="AZ51" s="75">
        <v>1.7604000000000002</v>
      </c>
      <c r="BA51" s="75">
        <v>1.7556</v>
      </c>
      <c r="BB51" s="75">
        <v>1.7538</v>
      </c>
      <c r="BC51" s="75">
        <v>1.7512000000000001</v>
      </c>
      <c r="BD51" s="75">
        <v>1.7590999999999999</v>
      </c>
      <c r="BE51" s="75">
        <v>1.7602</v>
      </c>
      <c r="BF51" s="75">
        <v>1.7521</v>
      </c>
      <c r="BG51" s="75">
        <v>1.7552999999999999</v>
      </c>
      <c r="BH51" s="75">
        <v>1.7489999999999999</v>
      </c>
      <c r="BI51" s="75">
        <v>1.7625000000000002</v>
      </c>
      <c r="BJ51" s="75">
        <v>1.7565999999999999</v>
      </c>
      <c r="BK51" s="75">
        <v>1.7497</v>
      </c>
      <c r="BL51" s="75"/>
      <c r="BM51" s="75"/>
      <c r="BN51" s="80"/>
      <c r="BO51" s="83"/>
      <c r="BP51" s="82"/>
      <c r="BQ51" s="82"/>
      <c r="BR51" s="82"/>
      <c r="BS51" s="82"/>
      <c r="BT51" s="82"/>
      <c r="BU51" s="82"/>
      <c r="BV51" s="82"/>
      <c r="BW51" s="82"/>
      <c r="BX51" s="82"/>
      <c r="BY51" s="82"/>
      <c r="BZ51" s="82"/>
      <c r="CA51" s="82"/>
      <c r="CB51" s="82"/>
      <c r="CC51" s="82"/>
      <c r="CD51" s="82"/>
      <c r="CE51" s="82"/>
      <c r="CF51" s="82"/>
      <c r="CG51" s="82"/>
      <c r="CH51" s="82"/>
      <c r="CI51" s="82"/>
      <c r="CJ51" s="82"/>
      <c r="CK51" s="82"/>
      <c r="CL51" s="82"/>
      <c r="CM51" s="82"/>
      <c r="CN51" s="82"/>
      <c r="CO51" s="82"/>
      <c r="CP51" s="82"/>
      <c r="CQ51" s="82"/>
      <c r="CR51" s="82"/>
      <c r="CS51" s="82"/>
      <c r="CT51" s="82"/>
      <c r="CU51" s="82"/>
      <c r="CV51" s="82"/>
      <c r="CW51" s="82"/>
      <c r="CX51" s="82"/>
      <c r="CY51" s="82"/>
      <c r="CZ51" s="82"/>
      <c r="DA51" s="82"/>
      <c r="DB51" s="82"/>
      <c r="DC51" s="82"/>
      <c r="DD51" s="82"/>
      <c r="DE51" s="82"/>
      <c r="DF51" s="82"/>
      <c r="DG51" s="82"/>
      <c r="DH51" s="82"/>
      <c r="DI51" s="82"/>
      <c r="DJ51" s="82"/>
      <c r="DK51" s="82"/>
      <c r="DL51" s="82"/>
      <c r="DM51" s="82"/>
      <c r="DN51" s="82"/>
      <c r="DO51" s="82"/>
      <c r="DP51" s="82"/>
      <c r="DQ51" s="82"/>
      <c r="DR51" s="82"/>
      <c r="DS51" s="82"/>
      <c r="DT51" s="82"/>
      <c r="DU51" s="82"/>
      <c r="DV51" s="82"/>
      <c r="DW51" s="82"/>
      <c r="DX51" s="82"/>
      <c r="DY51" s="82"/>
      <c r="DZ51" s="82"/>
      <c r="EA51" s="82"/>
      <c r="EB51" s="82"/>
      <c r="EC51" s="82"/>
      <c r="ED51" s="82"/>
    </row>
    <row r="52" spans="1:134" ht="15" customHeight="1">
      <c r="A52" s="22"/>
      <c r="B52" s="29"/>
      <c r="C52" s="30" t="s">
        <v>124</v>
      </c>
      <c r="D52" s="23" t="s">
        <v>54</v>
      </c>
      <c r="E52" s="23"/>
      <c r="F52" s="25" t="s">
        <v>50</v>
      </c>
      <c r="G52" s="26">
        <v>1.7549999999999999</v>
      </c>
      <c r="H52" s="27">
        <v>0.15</v>
      </c>
      <c r="I52" s="27">
        <v>-0.15</v>
      </c>
      <c r="J52" s="39" t="s">
        <v>51</v>
      </c>
      <c r="K52" s="40" t="s">
        <v>52</v>
      </c>
      <c r="L52" s="41">
        <f t="shared" ref="L52" si="73">IF(AND(G52="",H52=""),"",IF(G52="",H52,G52+H52))</f>
        <v>1.9049999999999998</v>
      </c>
      <c r="M52" s="42">
        <f t="shared" ref="M52" si="74">IF(AND(G52="",I52=""),"",IF(G52="",I52,G52+I52))</f>
        <v>1.605</v>
      </c>
      <c r="N52" s="43"/>
      <c r="O52" s="44">
        <f t="shared" si="59"/>
        <v>1.7387999999999999</v>
      </c>
      <c r="P52" s="44">
        <f t="shared" si="60"/>
        <v>1.7280000000000002</v>
      </c>
      <c r="Q52" s="44">
        <f t="shared" si="61"/>
        <v>1.7340586206896551</v>
      </c>
      <c r="R52" s="52">
        <f t="shared" si="62"/>
        <v>2.4952121640938966E-3</v>
      </c>
      <c r="S52" s="53">
        <f t="shared" si="63"/>
        <v>20.038376182795197</v>
      </c>
      <c r="T52" s="53">
        <f t="shared" si="64"/>
        <v>22.835917758843806</v>
      </c>
      <c r="U52" s="53">
        <f t="shared" si="65"/>
        <v>17.240834606746564</v>
      </c>
      <c r="V52" s="53">
        <f t="shared" si="66"/>
        <v>17.240834606746564</v>
      </c>
      <c r="W52" s="54">
        <f t="shared" si="67"/>
        <v>1</v>
      </c>
      <c r="X52" s="55" t="str">
        <f t="shared" si="68"/>
        <v/>
      </c>
      <c r="Y52" s="55" t="str">
        <f t="shared" si="69"/>
        <v/>
      </c>
      <c r="Z52" s="55">
        <f t="shared" si="70"/>
        <v>2.0941379310344788E-2</v>
      </c>
      <c r="AA52" s="55" t="str">
        <f t="shared" si="58"/>
        <v/>
      </c>
      <c r="AB52" s="61"/>
      <c r="AC52" s="62"/>
      <c r="AD52" s="63"/>
      <c r="AE52" s="65"/>
      <c r="AF52" s="65"/>
      <c r="AG52" s="77"/>
      <c r="AH52" s="74"/>
      <c r="AI52" s="75">
        <v>1.7335</v>
      </c>
      <c r="AJ52" s="75">
        <v>1.7355999999999998</v>
      </c>
      <c r="AK52" s="75">
        <v>1.7322</v>
      </c>
      <c r="AL52" s="75">
        <v>1.7345999999999999</v>
      </c>
      <c r="AM52" s="75">
        <v>1.7349999999999999</v>
      </c>
      <c r="AN52" s="75">
        <v>1.736</v>
      </c>
      <c r="AO52" s="75">
        <v>1.7345000000000002</v>
      </c>
      <c r="AP52" s="75">
        <v>1.7335</v>
      </c>
      <c r="AQ52" s="75">
        <v>1.7315</v>
      </c>
      <c r="AR52" s="75">
        <v>1.7286000000000001</v>
      </c>
      <c r="AS52" s="75">
        <v>1.7280000000000002</v>
      </c>
      <c r="AT52" s="75">
        <v>1.7387999999999999</v>
      </c>
      <c r="AU52" s="75">
        <v>1.736</v>
      </c>
      <c r="AV52" s="75">
        <v>1.7352000000000001</v>
      </c>
      <c r="AW52" s="75">
        <v>1.7357</v>
      </c>
      <c r="AX52" s="75">
        <v>1.7347999999999999</v>
      </c>
      <c r="AY52" s="75">
        <v>1.7325000000000002</v>
      </c>
      <c r="AZ52" s="75">
        <v>1.7374000000000001</v>
      </c>
      <c r="BA52" s="75">
        <v>1.7343999999999999</v>
      </c>
      <c r="BB52" s="75">
        <v>1.7328999999999999</v>
      </c>
      <c r="BC52" s="75">
        <v>1.7305000000000001</v>
      </c>
      <c r="BD52" s="75">
        <v>1.7325999999999999</v>
      </c>
      <c r="BE52" s="75">
        <v>1.738</v>
      </c>
      <c r="BF52" s="75">
        <v>1.7341</v>
      </c>
      <c r="BG52" s="75">
        <v>1.7344999999999999</v>
      </c>
      <c r="BH52" s="75">
        <v>1.732</v>
      </c>
      <c r="BI52" s="75">
        <v>1.7370000000000001</v>
      </c>
      <c r="BJ52" s="75">
        <v>1.7345999999999999</v>
      </c>
      <c r="BK52" s="75">
        <v>1.7337</v>
      </c>
      <c r="BL52" s="75"/>
      <c r="BM52" s="75"/>
      <c r="BN52" s="80"/>
      <c r="BO52" s="83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82"/>
      <c r="EA52" s="82"/>
      <c r="EB52" s="82"/>
      <c r="EC52" s="82"/>
      <c r="ED52" s="82"/>
    </row>
    <row r="53" spans="1:134" ht="15" customHeight="1">
      <c r="A53" s="22"/>
      <c r="B53" s="29"/>
      <c r="C53" s="30" t="s">
        <v>125</v>
      </c>
      <c r="D53" s="23" t="s">
        <v>54</v>
      </c>
      <c r="E53" s="23"/>
      <c r="F53" s="25" t="s">
        <v>50</v>
      </c>
      <c r="G53" s="26">
        <v>1.7549999999999999</v>
      </c>
      <c r="H53" s="27">
        <v>0.15</v>
      </c>
      <c r="I53" s="27">
        <v>-0.15</v>
      </c>
      <c r="J53" s="39" t="s">
        <v>51</v>
      </c>
      <c r="K53" s="40" t="s">
        <v>52</v>
      </c>
      <c r="L53" s="41">
        <f t="shared" ref="L53:L57" si="75">IF(AND(G53="",H53=""),"",IF(G53="",H53,G53+H53))</f>
        <v>1.9049999999999998</v>
      </c>
      <c r="M53" s="42">
        <f t="shared" ref="M53:M57" si="76">IF(AND(G53="",I53=""),"",IF(G53="",I53,G53+I53))</f>
        <v>1.605</v>
      </c>
      <c r="N53" s="43"/>
      <c r="O53" s="44">
        <f t="shared" si="59"/>
        <v>1.7309999999999999</v>
      </c>
      <c r="P53" s="44">
        <f t="shared" si="60"/>
        <v>1.7171000000000001</v>
      </c>
      <c r="Q53" s="44">
        <f t="shared" si="61"/>
        <v>1.7240413793103451</v>
      </c>
      <c r="R53" s="52">
        <f t="shared" si="62"/>
        <v>3.7445691380393435E-3</v>
      </c>
      <c r="S53" s="53">
        <f t="shared" si="63"/>
        <v>13.352671070236935</v>
      </c>
      <c r="T53" s="53">
        <f t="shared" si="64"/>
        <v>16.108539595951544</v>
      </c>
      <c r="U53" s="53">
        <f t="shared" si="65"/>
        <v>10.59680254452231</v>
      </c>
      <c r="V53" s="53">
        <f t="shared" si="66"/>
        <v>10.59680254452231</v>
      </c>
      <c r="W53" s="54">
        <f t="shared" si="67"/>
        <v>1</v>
      </c>
      <c r="X53" s="55" t="str">
        <f t="shared" si="68"/>
        <v/>
      </c>
      <c r="Y53" s="55" t="str">
        <f t="shared" si="69"/>
        <v/>
      </c>
      <c r="Z53" s="55">
        <f t="shared" si="70"/>
        <v>3.0958620689654825E-2</v>
      </c>
      <c r="AA53" s="55" t="str">
        <f t="shared" si="58"/>
        <v/>
      </c>
      <c r="AB53" s="61"/>
      <c r="AC53" s="62"/>
      <c r="AD53" s="63"/>
      <c r="AE53" s="65"/>
      <c r="AF53" s="65"/>
      <c r="AG53" s="77"/>
      <c r="AH53" s="74"/>
      <c r="AI53" s="75">
        <v>1.7236</v>
      </c>
      <c r="AJ53" s="75">
        <v>1.726</v>
      </c>
      <c r="AK53" s="75">
        <v>1.7271000000000001</v>
      </c>
      <c r="AL53" s="75">
        <v>1.7262</v>
      </c>
      <c r="AM53" s="75">
        <v>1.7271000000000001</v>
      </c>
      <c r="AN53" s="75">
        <v>1.7171000000000001</v>
      </c>
      <c r="AO53" s="75">
        <v>1.7223999999999999</v>
      </c>
      <c r="AP53" s="75">
        <v>1.7285000000000001</v>
      </c>
      <c r="AQ53" s="75">
        <v>1.7233000000000001</v>
      </c>
      <c r="AR53" s="75">
        <v>1.7204999999999999</v>
      </c>
      <c r="AS53" s="75">
        <v>1.7185999999999999</v>
      </c>
      <c r="AT53" s="75">
        <v>1.7257000000000002</v>
      </c>
      <c r="AU53" s="75">
        <v>1.7309999999999999</v>
      </c>
      <c r="AV53" s="75">
        <v>1.7244999999999999</v>
      </c>
      <c r="AW53" s="75">
        <v>1.7221</v>
      </c>
      <c r="AX53" s="75">
        <v>1.7222</v>
      </c>
      <c r="AY53" s="75">
        <v>1.7208000000000001</v>
      </c>
      <c r="AZ53" s="75">
        <v>1.7225000000000001</v>
      </c>
      <c r="BA53" s="75">
        <v>1.7213000000000001</v>
      </c>
      <c r="BB53" s="75">
        <v>1.7172000000000001</v>
      </c>
      <c r="BC53" s="75">
        <v>1.7306000000000001</v>
      </c>
      <c r="BD53" s="75">
        <v>1.7225999999999999</v>
      </c>
      <c r="BE53" s="75">
        <v>1.7286000000000001</v>
      </c>
      <c r="BF53" s="75">
        <v>1.7234</v>
      </c>
      <c r="BG53" s="75">
        <v>1.7196</v>
      </c>
      <c r="BH53" s="75">
        <v>1.7285999999999999</v>
      </c>
      <c r="BI53" s="75">
        <v>1.7277</v>
      </c>
      <c r="BJ53" s="75">
        <v>1.7259</v>
      </c>
      <c r="BK53" s="75">
        <v>1.7225000000000001</v>
      </c>
      <c r="BL53" s="75"/>
      <c r="BM53" s="75"/>
      <c r="BN53" s="80"/>
      <c r="BO53" s="83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82"/>
      <c r="EA53" s="82"/>
      <c r="EB53" s="82"/>
      <c r="EC53" s="82"/>
      <c r="ED53" s="82"/>
    </row>
    <row r="54" spans="1:134" ht="15" customHeight="1">
      <c r="A54" s="22"/>
      <c r="B54" s="29"/>
      <c r="C54" s="30" t="s">
        <v>126</v>
      </c>
      <c r="D54" s="23" t="s">
        <v>54</v>
      </c>
      <c r="E54" s="23"/>
      <c r="F54" s="25" t="s">
        <v>50</v>
      </c>
      <c r="G54" s="26">
        <v>1.7549999999999999</v>
      </c>
      <c r="H54" s="27">
        <v>0.15</v>
      </c>
      <c r="I54" s="27">
        <v>-0.15</v>
      </c>
      <c r="J54" s="39" t="s">
        <v>51</v>
      </c>
      <c r="K54" s="40" t="s">
        <v>52</v>
      </c>
      <c r="L54" s="41">
        <f t="shared" si="75"/>
        <v>1.9049999999999998</v>
      </c>
      <c r="M54" s="42">
        <f t="shared" si="76"/>
        <v>1.605</v>
      </c>
      <c r="N54" s="43"/>
      <c r="O54" s="44">
        <f t="shared" si="59"/>
        <v>1.7374000000000001</v>
      </c>
      <c r="P54" s="44">
        <f t="shared" si="60"/>
        <v>1.7158</v>
      </c>
      <c r="Q54" s="44">
        <f t="shared" si="61"/>
        <v>1.7247310344827591</v>
      </c>
      <c r="R54" s="52">
        <f t="shared" si="62"/>
        <v>5.4046344827033176E-3</v>
      </c>
      <c r="S54" s="53">
        <f t="shared" si="63"/>
        <v>9.251319429651927</v>
      </c>
      <c r="T54" s="53">
        <f t="shared" si="64"/>
        <v>11.118171888352682</v>
      </c>
      <c r="U54" s="53">
        <f t="shared" si="65"/>
        <v>7.3844669709511628</v>
      </c>
      <c r="V54" s="53">
        <f t="shared" si="66"/>
        <v>7.3844669709511628</v>
      </c>
      <c r="W54" s="54">
        <f t="shared" si="67"/>
        <v>1</v>
      </c>
      <c r="X54" s="55" t="str">
        <f t="shared" si="68"/>
        <v/>
      </c>
      <c r="Y54" s="55" t="str">
        <f t="shared" si="69"/>
        <v/>
      </c>
      <c r="Z54" s="55">
        <f t="shared" si="70"/>
        <v>3.0268965517240787E-2</v>
      </c>
      <c r="AA54" s="55" t="str">
        <f t="shared" si="58"/>
        <v/>
      </c>
      <c r="AB54" s="61"/>
      <c r="AC54" s="62"/>
      <c r="AD54" s="63"/>
      <c r="AE54" s="64"/>
      <c r="AF54" s="64"/>
      <c r="AG54" s="73"/>
      <c r="AH54" s="74"/>
      <c r="AI54" s="75">
        <v>1.7217</v>
      </c>
      <c r="AJ54" s="75">
        <v>1.7246000000000001</v>
      </c>
      <c r="AK54" s="75">
        <v>1.7339</v>
      </c>
      <c r="AL54" s="75">
        <v>1.724</v>
      </c>
      <c r="AM54" s="75">
        <v>1.7305000000000001</v>
      </c>
      <c r="AN54" s="75">
        <v>1.7158</v>
      </c>
      <c r="AO54" s="75">
        <v>1.7210000000000001</v>
      </c>
      <c r="AP54" s="75">
        <v>1.7374000000000001</v>
      </c>
      <c r="AQ54" s="75">
        <v>1.7268000000000001</v>
      </c>
      <c r="AR54" s="75">
        <v>1.7237</v>
      </c>
      <c r="AS54" s="75">
        <v>1.7208999999999999</v>
      </c>
      <c r="AT54" s="75">
        <v>1.7252000000000001</v>
      </c>
      <c r="AU54" s="75">
        <v>1.7307999999999999</v>
      </c>
      <c r="AV54" s="75">
        <v>1.7229000000000001</v>
      </c>
      <c r="AW54" s="75">
        <v>1.7217</v>
      </c>
      <c r="AX54" s="75">
        <v>1.7196</v>
      </c>
      <c r="AY54" s="75">
        <v>1.7257</v>
      </c>
      <c r="AZ54" s="75">
        <v>1.7204999999999999</v>
      </c>
      <c r="BA54" s="75">
        <v>1.7202</v>
      </c>
      <c r="BB54" s="75">
        <v>1.7171000000000001</v>
      </c>
      <c r="BC54" s="75">
        <v>1.7354000000000001</v>
      </c>
      <c r="BD54" s="75">
        <v>1.7235</v>
      </c>
      <c r="BE54" s="75">
        <v>1.7289000000000001</v>
      </c>
      <c r="BF54" s="75">
        <v>1.7235</v>
      </c>
      <c r="BG54" s="75">
        <v>1.7199</v>
      </c>
      <c r="BH54" s="75">
        <v>1.7321</v>
      </c>
      <c r="BI54" s="75">
        <v>1.7265000000000001</v>
      </c>
      <c r="BJ54" s="75">
        <v>1.7239</v>
      </c>
      <c r="BK54" s="75">
        <v>1.7195</v>
      </c>
      <c r="BL54" s="75"/>
      <c r="BM54" s="75"/>
      <c r="BN54" s="80"/>
      <c r="BO54" s="81"/>
      <c r="BP54" s="82"/>
      <c r="BQ54" s="82"/>
      <c r="BR54" s="82"/>
      <c r="BS54" s="82"/>
      <c r="BT54" s="82"/>
      <c r="BU54" s="82"/>
      <c r="BV54" s="82"/>
      <c r="BW54" s="82"/>
      <c r="BX54" s="82"/>
      <c r="BY54" s="82"/>
      <c r="BZ54" s="82"/>
      <c r="CA54" s="82"/>
      <c r="CB54" s="82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82"/>
      <c r="CO54" s="82"/>
      <c r="CP54" s="82"/>
      <c r="CQ54" s="82"/>
      <c r="CR54" s="82"/>
      <c r="CS54" s="82"/>
      <c r="CT54" s="82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2"/>
      <c r="DG54" s="82"/>
      <c r="DH54" s="82"/>
      <c r="DI54" s="82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2"/>
      <c r="DZ54" s="82"/>
      <c r="EA54" s="82"/>
      <c r="EB54" s="82"/>
      <c r="EC54" s="82"/>
      <c r="ED54" s="82"/>
    </row>
    <row r="55" spans="1:134" ht="15" customHeight="1">
      <c r="A55" s="22"/>
      <c r="B55" s="29"/>
      <c r="C55" s="30" t="s">
        <v>127</v>
      </c>
      <c r="D55" s="23" t="s">
        <v>54</v>
      </c>
      <c r="E55" s="23"/>
      <c r="F55" s="25" t="s">
        <v>50</v>
      </c>
      <c r="G55" s="26">
        <v>1.7549999999999999</v>
      </c>
      <c r="H55" s="27">
        <v>0.15</v>
      </c>
      <c r="I55" s="27">
        <v>-0.15</v>
      </c>
      <c r="J55" s="39" t="s">
        <v>51</v>
      </c>
      <c r="K55" s="40" t="s">
        <v>52</v>
      </c>
      <c r="L55" s="41">
        <f t="shared" si="75"/>
        <v>1.9049999999999998</v>
      </c>
      <c r="M55" s="42">
        <f t="shared" si="76"/>
        <v>1.605</v>
      </c>
      <c r="N55" s="43"/>
      <c r="O55" s="44">
        <f t="shared" si="59"/>
        <v>1.74</v>
      </c>
      <c r="P55" s="44">
        <f t="shared" si="60"/>
        <v>1.7242999999999999</v>
      </c>
      <c r="Q55" s="44">
        <f t="shared" si="61"/>
        <v>1.7313999999999998</v>
      </c>
      <c r="R55" s="52">
        <f t="shared" si="62"/>
        <v>3.3113441379597117E-3</v>
      </c>
      <c r="S55" s="53">
        <f t="shared" si="63"/>
        <v>15.099608472228306</v>
      </c>
      <c r="T55" s="53">
        <f t="shared" si="64"/>
        <v>17.475280205192224</v>
      </c>
      <c r="U55" s="53">
        <f t="shared" si="65"/>
        <v>12.723936739264371</v>
      </c>
      <c r="V55" s="53">
        <f t="shared" si="66"/>
        <v>12.723936739264371</v>
      </c>
      <c r="W55" s="54">
        <f t="shared" si="67"/>
        <v>1</v>
      </c>
      <c r="X55" s="55" t="str">
        <f t="shared" si="68"/>
        <v/>
      </c>
      <c r="Y55" s="55" t="str">
        <f t="shared" si="69"/>
        <v/>
      </c>
      <c r="Z55" s="55">
        <f t="shared" si="70"/>
        <v>2.3600000000000065E-2</v>
      </c>
      <c r="AA55" s="55" t="str">
        <f t="shared" si="58"/>
        <v/>
      </c>
      <c r="AB55" s="61"/>
      <c r="AC55" s="62"/>
      <c r="AD55" s="63"/>
      <c r="AE55" s="64"/>
      <c r="AF55" s="64"/>
      <c r="AG55" s="73"/>
      <c r="AH55" s="74"/>
      <c r="AI55" s="75">
        <v>1.7317</v>
      </c>
      <c r="AJ55" s="75">
        <v>1.7303999999999999</v>
      </c>
      <c r="AK55" s="75">
        <v>1.7363999999999999</v>
      </c>
      <c r="AL55" s="75">
        <v>1.7332999999999998</v>
      </c>
      <c r="AM55" s="75">
        <v>1.7353000000000001</v>
      </c>
      <c r="AN55" s="75">
        <v>1.7282</v>
      </c>
      <c r="AO55" s="75">
        <v>1.7313999999999998</v>
      </c>
      <c r="AP55" s="75">
        <v>1.74</v>
      </c>
      <c r="AQ55" s="75">
        <v>1.7313000000000001</v>
      </c>
      <c r="AR55" s="75">
        <v>1.7242999999999999</v>
      </c>
      <c r="AS55" s="75">
        <v>1.7296999999999998</v>
      </c>
      <c r="AT55" s="75">
        <v>1.7322000000000002</v>
      </c>
      <c r="AU55" s="75">
        <v>1.7357</v>
      </c>
      <c r="AV55" s="75">
        <v>1.7323</v>
      </c>
      <c r="AW55" s="75">
        <v>1.7291999999999998</v>
      </c>
      <c r="AX55" s="75">
        <v>1.7309999999999999</v>
      </c>
      <c r="AY55" s="75">
        <v>1.7293000000000001</v>
      </c>
      <c r="AZ55" s="75">
        <v>1.7320000000000002</v>
      </c>
      <c r="BA55" s="75">
        <v>1.7282</v>
      </c>
      <c r="BB55" s="75">
        <v>1.726</v>
      </c>
      <c r="BC55" s="75">
        <v>1.7348000000000001</v>
      </c>
      <c r="BD55" s="75">
        <v>1.7304999999999999</v>
      </c>
      <c r="BE55" s="75">
        <v>1.7349000000000001</v>
      </c>
      <c r="BF55" s="75">
        <v>1.7309999999999999</v>
      </c>
      <c r="BG55" s="75">
        <v>1.7281</v>
      </c>
      <c r="BH55" s="75">
        <v>1.7326999999999999</v>
      </c>
      <c r="BI55" s="75">
        <v>1.7328999999999999</v>
      </c>
      <c r="BJ55" s="75">
        <v>1.7302</v>
      </c>
      <c r="BK55" s="75">
        <v>1.7276</v>
      </c>
      <c r="BL55" s="75"/>
      <c r="BM55" s="75"/>
      <c r="BN55" s="80"/>
      <c r="BO55" s="81"/>
      <c r="BP55" s="82"/>
      <c r="BQ55" s="82"/>
      <c r="BR55" s="82"/>
      <c r="BS55" s="82"/>
      <c r="BT55" s="82"/>
      <c r="BU55" s="82"/>
      <c r="BV55" s="82"/>
      <c r="BW55" s="82"/>
      <c r="BX55" s="82"/>
      <c r="BY55" s="82"/>
      <c r="BZ55" s="82"/>
      <c r="CA55" s="82"/>
      <c r="CB55" s="82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82"/>
      <c r="CO55" s="82"/>
      <c r="CP55" s="82"/>
      <c r="CQ55" s="82"/>
      <c r="CR55" s="82"/>
      <c r="CS55" s="82"/>
      <c r="CT55" s="82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2"/>
      <c r="DG55" s="82"/>
      <c r="DH55" s="82"/>
      <c r="DI55" s="82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2"/>
      <c r="DZ55" s="82"/>
      <c r="EA55" s="82"/>
      <c r="EB55" s="82"/>
      <c r="EC55" s="82"/>
      <c r="ED55" s="82"/>
    </row>
    <row r="56" spans="1:134" ht="15" customHeight="1">
      <c r="A56" s="22"/>
      <c r="B56" s="29"/>
      <c r="C56" s="30" t="s">
        <v>128</v>
      </c>
      <c r="D56" s="23" t="s">
        <v>54</v>
      </c>
      <c r="E56" s="23"/>
      <c r="F56" s="25" t="s">
        <v>50</v>
      </c>
      <c r="G56" s="26">
        <v>1.7549999999999999</v>
      </c>
      <c r="H56" s="27">
        <v>0.15</v>
      </c>
      <c r="I56" s="27">
        <v>-0.15</v>
      </c>
      <c r="J56" s="39" t="s">
        <v>51</v>
      </c>
      <c r="K56" s="40" t="s">
        <v>52</v>
      </c>
      <c r="L56" s="41">
        <f t="shared" ref="L56" si="77">IF(AND(G56="",H56=""),"",IF(G56="",H56,G56+H56))</f>
        <v>1.9049999999999998</v>
      </c>
      <c r="M56" s="42">
        <f t="shared" ref="M56" si="78">IF(AND(G56="",I56=""),"",IF(G56="",I56,G56+I56))</f>
        <v>1.605</v>
      </c>
      <c r="N56" s="43"/>
      <c r="O56" s="44">
        <f t="shared" si="59"/>
        <v>1.7439</v>
      </c>
      <c r="P56" s="44">
        <f t="shared" si="60"/>
        <v>1.7330999999999999</v>
      </c>
      <c r="Q56" s="44">
        <f t="shared" si="61"/>
        <v>1.7384068965517243</v>
      </c>
      <c r="R56" s="52">
        <f t="shared" si="62"/>
        <v>2.9028226453479589E-3</v>
      </c>
      <c r="S56" s="53">
        <f t="shared" si="63"/>
        <v>17.224614145865786</v>
      </c>
      <c r="T56" s="53">
        <f t="shared" si="64"/>
        <v>19.130012841725655</v>
      </c>
      <c r="U56" s="53">
        <f t="shared" si="65"/>
        <v>15.319215450005897</v>
      </c>
      <c r="V56" s="53">
        <f t="shared" si="66"/>
        <v>15.319215450005897</v>
      </c>
      <c r="W56" s="54">
        <f t="shared" si="67"/>
        <v>1</v>
      </c>
      <c r="X56" s="55" t="str">
        <f t="shared" si="68"/>
        <v/>
      </c>
      <c r="Y56" s="55" t="str">
        <f t="shared" si="69"/>
        <v/>
      </c>
      <c r="Z56" s="55">
        <f t="shared" si="70"/>
        <v>1.6593103448275581E-2</v>
      </c>
      <c r="AA56" s="55" t="str">
        <f t="shared" si="58"/>
        <v/>
      </c>
      <c r="AB56" s="61"/>
      <c r="AC56" s="62"/>
      <c r="AD56" s="63"/>
      <c r="AE56" s="64"/>
      <c r="AF56" s="64"/>
      <c r="AG56" s="73"/>
      <c r="AH56" s="74"/>
      <c r="AI56" s="75">
        <v>1.7362</v>
      </c>
      <c r="AJ56" s="75">
        <v>1.7366999999999999</v>
      </c>
      <c r="AK56" s="75">
        <v>1.7352000000000001</v>
      </c>
      <c r="AL56" s="75">
        <v>1.738</v>
      </c>
      <c r="AM56" s="75">
        <v>1.7431999999999999</v>
      </c>
      <c r="AN56" s="75">
        <v>1.7406999999999999</v>
      </c>
      <c r="AO56" s="75">
        <v>1.7425999999999999</v>
      </c>
      <c r="AP56" s="75">
        <v>1.7371000000000001</v>
      </c>
      <c r="AQ56" s="75">
        <v>1.7349000000000001</v>
      </c>
      <c r="AR56" s="75">
        <v>1.7332999999999998</v>
      </c>
      <c r="AS56" s="75">
        <v>1.7330999999999999</v>
      </c>
      <c r="AT56" s="75">
        <v>1.7439</v>
      </c>
      <c r="AU56" s="75">
        <v>1.7403</v>
      </c>
      <c r="AV56" s="75">
        <v>1.7410000000000001</v>
      </c>
      <c r="AW56" s="75">
        <v>1.7393999999999998</v>
      </c>
      <c r="AX56" s="75">
        <v>1.7375</v>
      </c>
      <c r="AY56" s="75">
        <v>1.7362</v>
      </c>
      <c r="AZ56" s="75">
        <v>1.7418</v>
      </c>
      <c r="BA56" s="75">
        <v>1.7394000000000001</v>
      </c>
      <c r="BB56" s="75">
        <v>1.7367999999999999</v>
      </c>
      <c r="BC56" s="75">
        <v>1.7376</v>
      </c>
      <c r="BD56" s="75">
        <v>1.7401</v>
      </c>
      <c r="BE56" s="75">
        <v>1.7401</v>
      </c>
      <c r="BF56" s="75">
        <v>1.7396</v>
      </c>
      <c r="BG56" s="75">
        <v>1.7377</v>
      </c>
      <c r="BH56" s="75">
        <v>1.7346999999999999</v>
      </c>
      <c r="BI56" s="75">
        <v>1.7423000000000002</v>
      </c>
      <c r="BJ56" s="75">
        <v>1.7363999999999999</v>
      </c>
      <c r="BK56" s="75">
        <v>1.738</v>
      </c>
      <c r="BL56" s="75"/>
      <c r="BM56" s="75"/>
      <c r="BN56" s="80"/>
      <c r="BO56" s="81"/>
      <c r="BP56" s="82"/>
      <c r="BQ56" s="82"/>
      <c r="BR56" s="82"/>
      <c r="BS56" s="82"/>
      <c r="BT56" s="82"/>
      <c r="BU56" s="82"/>
      <c r="BV56" s="82"/>
      <c r="BW56" s="82"/>
      <c r="BX56" s="82"/>
      <c r="BY56" s="82"/>
      <c r="BZ56" s="82"/>
      <c r="CA56" s="82"/>
      <c r="CB56" s="82"/>
      <c r="CC56" s="82"/>
      <c r="CD56" s="82"/>
      <c r="CE56" s="82"/>
      <c r="CF56" s="82"/>
      <c r="CG56" s="82"/>
      <c r="CH56" s="82"/>
      <c r="CI56" s="82"/>
      <c r="CJ56" s="82"/>
      <c r="CK56" s="82"/>
      <c r="CL56" s="82"/>
      <c r="CM56" s="82"/>
      <c r="CN56" s="82"/>
      <c r="CO56" s="82"/>
      <c r="CP56" s="82"/>
      <c r="CQ56" s="82"/>
      <c r="CR56" s="82"/>
      <c r="CS56" s="82"/>
      <c r="CT56" s="82"/>
      <c r="CU56" s="82"/>
      <c r="CV56" s="82"/>
      <c r="CW56" s="82"/>
      <c r="CX56" s="82"/>
      <c r="CY56" s="82"/>
      <c r="CZ56" s="82"/>
      <c r="DA56" s="82"/>
      <c r="DB56" s="82"/>
      <c r="DC56" s="82"/>
      <c r="DD56" s="82"/>
      <c r="DE56" s="82"/>
      <c r="DF56" s="82"/>
      <c r="DG56" s="82"/>
      <c r="DH56" s="82"/>
      <c r="DI56" s="82"/>
      <c r="DJ56" s="82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 s="82"/>
      <c r="DX56" s="82"/>
      <c r="DY56" s="82"/>
      <c r="DZ56" s="82"/>
      <c r="EA56" s="82"/>
      <c r="EB56" s="82"/>
      <c r="EC56" s="82"/>
      <c r="ED56" s="82"/>
    </row>
    <row r="57" spans="1:134" ht="15" customHeight="1">
      <c r="A57" s="22"/>
      <c r="B57" s="29"/>
      <c r="C57" s="30" t="s">
        <v>129</v>
      </c>
      <c r="D57" s="23" t="s">
        <v>54</v>
      </c>
      <c r="E57" s="23"/>
      <c r="F57" s="25" t="s">
        <v>50</v>
      </c>
      <c r="G57" s="26">
        <v>1.7549999999999999</v>
      </c>
      <c r="H57" s="27">
        <v>0.15</v>
      </c>
      <c r="I57" s="27">
        <v>-0.15</v>
      </c>
      <c r="J57" s="39" t="s">
        <v>51</v>
      </c>
      <c r="K57" s="40" t="s">
        <v>52</v>
      </c>
      <c r="L57" s="41">
        <f t="shared" si="75"/>
        <v>1.9049999999999998</v>
      </c>
      <c r="M57" s="42">
        <f t="shared" si="76"/>
        <v>1.605</v>
      </c>
      <c r="N57" s="43"/>
      <c r="O57" s="44">
        <f t="shared" si="59"/>
        <v>1.7652999999999999</v>
      </c>
      <c r="P57" s="44">
        <f t="shared" si="60"/>
        <v>1.7477</v>
      </c>
      <c r="Q57" s="44">
        <f t="shared" si="61"/>
        <v>1.7538689655172415</v>
      </c>
      <c r="R57" s="52">
        <f t="shared" si="62"/>
        <v>4.1733939124851509E-3</v>
      </c>
      <c r="S57" s="53">
        <f t="shared" si="63"/>
        <v>11.9806567624541</v>
      </c>
      <c r="T57" s="53">
        <f t="shared" si="64"/>
        <v>12.07099366861695</v>
      </c>
      <c r="U57" s="53">
        <f t="shared" si="65"/>
        <v>11.890319856291237</v>
      </c>
      <c r="V57" s="53">
        <f t="shared" si="66"/>
        <v>11.890319856291237</v>
      </c>
      <c r="W57" s="54">
        <f t="shared" si="67"/>
        <v>1</v>
      </c>
      <c r="X57" s="55" t="str">
        <f t="shared" si="68"/>
        <v/>
      </c>
      <c r="Y57" s="55" t="str">
        <f t="shared" si="69"/>
        <v/>
      </c>
      <c r="Z57" s="55">
        <f t="shared" si="70"/>
        <v>1.1310344827584196E-3</v>
      </c>
      <c r="AA57" s="55" t="str">
        <f t="shared" si="58"/>
        <v/>
      </c>
      <c r="AB57" s="61"/>
      <c r="AC57" s="62"/>
      <c r="AD57" s="63"/>
      <c r="AE57" s="65"/>
      <c r="AF57" s="65"/>
      <c r="AG57" s="77"/>
      <c r="AH57" s="74"/>
      <c r="AI57" s="75">
        <v>1.7477</v>
      </c>
      <c r="AJ57" s="75">
        <v>1.7523</v>
      </c>
      <c r="AK57" s="75">
        <v>1.7521</v>
      </c>
      <c r="AL57" s="75">
        <v>1.7542</v>
      </c>
      <c r="AM57" s="75">
        <v>1.7519999999999998</v>
      </c>
      <c r="AN57" s="75">
        <v>1.7523</v>
      </c>
      <c r="AO57" s="75">
        <v>1.7520000000000002</v>
      </c>
      <c r="AP57" s="75">
        <v>1.7493000000000001</v>
      </c>
      <c r="AQ57" s="75">
        <v>1.7534000000000001</v>
      </c>
      <c r="AR57" s="75">
        <v>1.7488999999999999</v>
      </c>
      <c r="AS57" s="75">
        <v>1.7490000000000001</v>
      </c>
      <c r="AT57" s="75">
        <v>1.7652999999999999</v>
      </c>
      <c r="AU57" s="75">
        <v>1.7581</v>
      </c>
      <c r="AV57" s="75">
        <v>1.7538</v>
      </c>
      <c r="AW57" s="75">
        <v>1.7631999999999999</v>
      </c>
      <c r="AX57" s="75">
        <v>1.7543</v>
      </c>
      <c r="AY57" s="75">
        <v>1.7526000000000002</v>
      </c>
      <c r="AZ57" s="75">
        <v>1.7578999999999998</v>
      </c>
      <c r="BA57" s="75">
        <v>1.7563</v>
      </c>
      <c r="BB57" s="75">
        <v>1.7499</v>
      </c>
      <c r="BC57" s="75">
        <v>1.7526000000000002</v>
      </c>
      <c r="BD57" s="75">
        <v>1.7547999999999999</v>
      </c>
      <c r="BE57" s="75">
        <v>1.7591000000000001</v>
      </c>
      <c r="BF57" s="75">
        <v>1.7551999999999999</v>
      </c>
      <c r="BG57" s="75">
        <v>1.7505999999999999</v>
      </c>
      <c r="BH57" s="75">
        <v>1.7492000000000001</v>
      </c>
      <c r="BI57" s="75">
        <v>1.7585999999999999</v>
      </c>
      <c r="BJ57" s="75">
        <v>1.7549999999999999</v>
      </c>
      <c r="BK57" s="75">
        <v>1.7525000000000002</v>
      </c>
      <c r="BL57" s="75"/>
      <c r="BM57" s="75"/>
      <c r="BN57" s="80"/>
      <c r="BO57" s="83"/>
      <c r="BP57" s="82"/>
      <c r="BQ57" s="82"/>
      <c r="BR57" s="82"/>
      <c r="BS57" s="82"/>
      <c r="BT57" s="82"/>
      <c r="BU57" s="82"/>
      <c r="BV57" s="82"/>
      <c r="BW57" s="82"/>
      <c r="BX57" s="82"/>
      <c r="BY57" s="82"/>
      <c r="BZ57" s="82"/>
      <c r="CA57" s="82"/>
      <c r="CB57" s="82"/>
      <c r="CC57" s="82"/>
      <c r="CD57" s="82"/>
      <c r="CE57" s="82"/>
      <c r="CF57" s="82"/>
      <c r="CG57" s="82"/>
      <c r="CH57" s="82"/>
      <c r="CI57" s="82"/>
      <c r="CJ57" s="82"/>
      <c r="CK57" s="82"/>
      <c r="CL57" s="82"/>
      <c r="CM57" s="82"/>
      <c r="CN57" s="82"/>
      <c r="CO57" s="82"/>
      <c r="CP57" s="82"/>
      <c r="CQ57" s="82"/>
      <c r="CR57" s="82"/>
      <c r="CS57" s="82"/>
      <c r="CT57" s="82"/>
      <c r="CU57" s="82"/>
      <c r="CV57" s="82"/>
      <c r="CW57" s="82"/>
      <c r="CX57" s="82"/>
      <c r="CY57" s="82"/>
      <c r="CZ57" s="82"/>
      <c r="DA57" s="82"/>
      <c r="DB57" s="82"/>
      <c r="DC57" s="82"/>
      <c r="DD57" s="82"/>
      <c r="DE57" s="82"/>
      <c r="DF57" s="82"/>
      <c r="DG57" s="82"/>
      <c r="DH57" s="82"/>
      <c r="DI57" s="82"/>
      <c r="DJ57" s="82"/>
      <c r="DK57" s="82"/>
      <c r="DL57" s="82"/>
      <c r="DM57" s="82"/>
      <c r="DN57" s="82"/>
      <c r="DO57" s="82"/>
      <c r="DP57" s="82"/>
      <c r="DQ57" s="82"/>
      <c r="DR57" s="82"/>
      <c r="DS57" s="82"/>
      <c r="DT57" s="82"/>
      <c r="DU57" s="82"/>
      <c r="DV57" s="82"/>
      <c r="DW57" s="82"/>
      <c r="DX57" s="82"/>
      <c r="DY57" s="82"/>
      <c r="DZ57" s="82"/>
      <c r="EA57" s="82"/>
      <c r="EB57" s="82"/>
      <c r="EC57" s="82"/>
      <c r="ED57" s="82"/>
    </row>
    <row r="58" spans="1:134" ht="15" customHeight="1">
      <c r="A58" s="22"/>
      <c r="B58" s="29"/>
      <c r="C58" s="30" t="s">
        <v>130</v>
      </c>
      <c r="D58" s="23" t="s">
        <v>54</v>
      </c>
      <c r="E58" s="23"/>
      <c r="F58" s="25" t="s">
        <v>50</v>
      </c>
      <c r="G58" s="26">
        <v>1.7549999999999999</v>
      </c>
      <c r="H58" s="27">
        <v>0.15</v>
      </c>
      <c r="I58" s="27">
        <v>-0.15</v>
      </c>
      <c r="J58" s="39" t="s">
        <v>51</v>
      </c>
      <c r="K58" s="40" t="s">
        <v>52</v>
      </c>
      <c r="L58" s="41">
        <f t="shared" ref="L58" si="79">IF(AND(G58="",H58=""),"",IF(G58="",H58,G58+H58))</f>
        <v>1.9049999999999998</v>
      </c>
      <c r="M58" s="42">
        <f t="shared" ref="M58" si="80">IF(AND(G58="",I58=""),"",IF(G58="",I58,G58+I58))</f>
        <v>1.605</v>
      </c>
      <c r="N58" s="43"/>
      <c r="O58" s="44">
        <f t="shared" si="59"/>
        <v>1.7464</v>
      </c>
      <c r="P58" s="44">
        <f t="shared" si="60"/>
        <v>1.7347999999999999</v>
      </c>
      <c r="Q58" s="44">
        <f t="shared" si="61"/>
        <v>1.7398172413793105</v>
      </c>
      <c r="R58" s="52">
        <f t="shared" si="62"/>
        <v>3.1706318619387232E-3</v>
      </c>
      <c r="S58" s="53">
        <f t="shared" si="63"/>
        <v>15.769727353155048</v>
      </c>
      <c r="T58" s="53">
        <f t="shared" si="64"/>
        <v>17.365913779268613</v>
      </c>
      <c r="U58" s="53">
        <f t="shared" si="65"/>
        <v>14.173540927041463</v>
      </c>
      <c r="V58" s="53">
        <f t="shared" si="66"/>
        <v>14.173540927041463</v>
      </c>
      <c r="W58" s="54">
        <f t="shared" si="67"/>
        <v>1</v>
      </c>
      <c r="X58" s="55" t="str">
        <f t="shared" si="68"/>
        <v/>
      </c>
      <c r="Y58" s="55" t="str">
        <f t="shared" si="69"/>
        <v/>
      </c>
      <c r="Z58" s="55">
        <f t="shared" si="70"/>
        <v>1.5182758620689407E-2</v>
      </c>
      <c r="AA58" s="55" t="str">
        <f t="shared" si="58"/>
        <v/>
      </c>
      <c r="AB58" s="61"/>
      <c r="AC58" s="62"/>
      <c r="AD58" s="63"/>
      <c r="AE58" s="65"/>
      <c r="AF58" s="65"/>
      <c r="AG58" s="77"/>
      <c r="AH58" s="74"/>
      <c r="AI58" s="75">
        <v>1.7370999999999999</v>
      </c>
      <c r="AJ58" s="75">
        <v>1.7410000000000001</v>
      </c>
      <c r="AK58" s="75">
        <v>1.7395</v>
      </c>
      <c r="AL58" s="75">
        <v>1.7401</v>
      </c>
      <c r="AM58" s="75">
        <v>1.7389999999999999</v>
      </c>
      <c r="AN58" s="75">
        <v>1.7347999999999999</v>
      </c>
      <c r="AO58" s="75">
        <v>1.7370999999999999</v>
      </c>
      <c r="AP58" s="75">
        <v>1.7383999999999999</v>
      </c>
      <c r="AQ58" s="75">
        <v>1.7372000000000001</v>
      </c>
      <c r="AR58" s="75">
        <v>1.7357</v>
      </c>
      <c r="AS58" s="75">
        <v>1.7349999999999999</v>
      </c>
      <c r="AT58" s="75">
        <v>1.7456</v>
      </c>
      <c r="AU58" s="75">
        <v>1.7464</v>
      </c>
      <c r="AV58" s="75">
        <v>1.7392000000000001</v>
      </c>
      <c r="AW58" s="75">
        <v>1.7442</v>
      </c>
      <c r="AX58" s="75">
        <v>1.7383</v>
      </c>
      <c r="AY58" s="75">
        <v>1.7389000000000001</v>
      </c>
      <c r="AZ58" s="75">
        <v>1.7427000000000001</v>
      </c>
      <c r="BA58" s="75">
        <v>1.7410000000000001</v>
      </c>
      <c r="BB58" s="75">
        <v>1.7347999999999999</v>
      </c>
      <c r="BC58" s="75">
        <v>1.7394000000000001</v>
      </c>
      <c r="BD58" s="75">
        <v>1.7403</v>
      </c>
      <c r="BE58" s="75">
        <v>1.7435</v>
      </c>
      <c r="BF58" s="75">
        <v>1.7414000000000001</v>
      </c>
      <c r="BG58" s="75">
        <v>1.7383</v>
      </c>
      <c r="BH58" s="75">
        <v>1.7396</v>
      </c>
      <c r="BI58" s="75">
        <v>1.7454999999999998</v>
      </c>
      <c r="BJ58" s="75">
        <v>1.7418</v>
      </c>
      <c r="BK58" s="75">
        <v>1.7389000000000001</v>
      </c>
      <c r="BL58" s="75"/>
      <c r="BM58" s="75"/>
      <c r="BN58" s="80"/>
      <c r="BO58" s="83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  <c r="CY58" s="82"/>
      <c r="CZ58" s="82"/>
      <c r="DA58" s="82"/>
      <c r="DB58" s="82"/>
      <c r="DC58" s="82"/>
      <c r="DD58" s="82"/>
      <c r="DE58" s="82"/>
      <c r="DF58" s="82"/>
      <c r="DG58" s="82"/>
      <c r="DH58" s="82"/>
      <c r="DI58" s="82"/>
      <c r="DJ58" s="82"/>
      <c r="DK58" s="82"/>
      <c r="DL58" s="82"/>
      <c r="DM58" s="82"/>
      <c r="DN58" s="82"/>
      <c r="DO58" s="82"/>
      <c r="DP58" s="82"/>
      <c r="DQ58" s="82"/>
      <c r="DR58" s="82"/>
      <c r="DS58" s="82"/>
      <c r="DT58" s="82"/>
      <c r="DU58" s="82"/>
      <c r="DV58" s="82"/>
      <c r="DW58" s="82"/>
      <c r="DX58" s="82"/>
      <c r="DY58" s="82"/>
      <c r="DZ58" s="82"/>
      <c r="EA58" s="82"/>
      <c r="EB58" s="82"/>
      <c r="EC58" s="82"/>
      <c r="ED58" s="82"/>
    </row>
    <row r="60" spans="1:134">
      <c r="AI60" s="90"/>
      <c r="AJ60" s="90"/>
      <c r="AK60" s="90"/>
      <c r="AL60" s="90"/>
      <c r="AM60" s="90"/>
      <c r="AN60" s="90"/>
      <c r="AO60" s="90"/>
      <c r="AP60" s="90"/>
      <c r="AQ60" s="90"/>
      <c r="AR60" s="90"/>
      <c r="AS60" s="90"/>
      <c r="AT60" s="90"/>
      <c r="AU60" s="90"/>
      <c r="AV60" s="90"/>
      <c r="AW60" s="90"/>
      <c r="AX60" s="90"/>
      <c r="AY60" s="90"/>
      <c r="AZ60" s="90"/>
      <c r="BA60" s="90"/>
      <c r="BB60" s="90"/>
      <c r="BC60" s="90"/>
      <c r="BD60" s="90"/>
      <c r="BE60" s="90"/>
      <c r="BF60" s="90"/>
      <c r="BG60" s="90"/>
      <c r="BH60" s="90"/>
      <c r="BI60" s="90"/>
      <c r="BJ60" s="90"/>
      <c r="BK60" s="90"/>
    </row>
  </sheetData>
  <mergeCells count="22">
    <mergeCell ref="B8:M8"/>
    <mergeCell ref="O8:AC8"/>
    <mergeCell ref="AE8:AG8"/>
    <mergeCell ref="AI8:BN8"/>
    <mergeCell ref="X9:Y9"/>
    <mergeCell ref="B6:C6"/>
    <mergeCell ref="F6:G6"/>
    <mergeCell ref="H6:M6"/>
    <mergeCell ref="O6:Q6"/>
    <mergeCell ref="R6:U6"/>
    <mergeCell ref="B5:C5"/>
    <mergeCell ref="F5:G5"/>
    <mergeCell ref="H5:M5"/>
    <mergeCell ref="O5:Q5"/>
    <mergeCell ref="R5:U5"/>
    <mergeCell ref="A1:AC1"/>
    <mergeCell ref="T2:U2"/>
    <mergeCell ref="B4:C4"/>
    <mergeCell ref="F4:G4"/>
    <mergeCell ref="H4:M4"/>
    <mergeCell ref="O4:Q4"/>
    <mergeCell ref="R4:U4"/>
  </mergeCells>
  <phoneticPr fontId="28" type="noConversion"/>
  <conditionalFormatting sqref="AI16:AK16">
    <cfRule type="containsBlanks" dxfId="211" priority="8590">
      <formula>LEN(TRIM(AI16))=0</formula>
    </cfRule>
    <cfRule type="expression" dxfId="210" priority="8591">
      <formula>AND($M16&lt;&gt;"",$AI16&lt;&gt;"",AI16&lt;$M16)</formula>
    </cfRule>
    <cfRule type="expression" dxfId="209" priority="8592">
      <formula>AND($L16&lt;&gt;"",$AI16&lt;&gt;"",AI16&gt;$L16)</formula>
    </cfRule>
    <cfRule type="notContainsBlanks" dxfId="208" priority="8593">
      <formula>LEN(TRIM(AI16))&gt;0</formula>
    </cfRule>
  </conditionalFormatting>
  <conditionalFormatting sqref="AI18:AK18">
    <cfRule type="containsBlanks" dxfId="207" priority="8419">
      <formula>LEN(TRIM(AI18))=0</formula>
    </cfRule>
    <cfRule type="expression" dxfId="206" priority="8420">
      <formula>AND($M18&lt;&gt;"",$AI18&lt;&gt;"",AI18&lt;$M18)</formula>
    </cfRule>
    <cfRule type="expression" dxfId="205" priority="8421">
      <formula>AND($L18&lt;&gt;"",$AI18&lt;&gt;"",AI18&gt;$L18)</formula>
    </cfRule>
    <cfRule type="notContainsBlanks" dxfId="204" priority="8422">
      <formula>LEN(TRIM(AI18))&gt;0</formula>
    </cfRule>
  </conditionalFormatting>
  <conditionalFormatting sqref="AI19:AK19">
    <cfRule type="containsBlanks" dxfId="203" priority="8415">
      <formula>LEN(TRIM(AI19))=0</formula>
    </cfRule>
    <cfRule type="expression" dxfId="202" priority="8416">
      <formula>AND($M19&lt;&gt;"",$AI19&lt;&gt;"",AI19&lt;$M19)</formula>
    </cfRule>
    <cfRule type="expression" dxfId="201" priority="8417">
      <formula>AND($L19&lt;&gt;"",$AI19&lt;&gt;"",AI19&gt;$L19)</formula>
    </cfRule>
    <cfRule type="notContainsBlanks" dxfId="200" priority="8418">
      <formula>LEN(TRIM(AI19))&gt;0</formula>
    </cfRule>
  </conditionalFormatting>
  <conditionalFormatting sqref="AI20:AK20">
    <cfRule type="containsBlanks" dxfId="199" priority="8423">
      <formula>LEN(TRIM(AI20))=0</formula>
    </cfRule>
    <cfRule type="expression" dxfId="198" priority="8424">
      <formula>AND($M20&lt;&gt;"",$AI20&lt;&gt;"",AI20&lt;$M20)</formula>
    </cfRule>
    <cfRule type="expression" dxfId="197" priority="8425">
      <formula>AND($L20&lt;&gt;"",$AI20&lt;&gt;"",AI20&gt;$L20)</formula>
    </cfRule>
    <cfRule type="notContainsBlanks" dxfId="196" priority="8426">
      <formula>LEN(TRIM(AI20))&gt;0</formula>
    </cfRule>
  </conditionalFormatting>
  <conditionalFormatting sqref="AI24:AK24">
    <cfRule type="containsBlanks" dxfId="195" priority="8349">
      <formula>LEN(TRIM(AI24))=0</formula>
    </cfRule>
    <cfRule type="expression" dxfId="194" priority="8350">
      <formula>AND($M24&lt;&gt;"",$AI24&lt;&gt;"",AI24&lt;$M24)</formula>
    </cfRule>
    <cfRule type="expression" dxfId="193" priority="8351">
      <formula>AND($L24&lt;&gt;"",$AI24&lt;&gt;"",AI24&gt;$L24)</formula>
    </cfRule>
    <cfRule type="notContainsBlanks" dxfId="192" priority="8352">
      <formula>LEN(TRIM(AI24))&gt;0</formula>
    </cfRule>
  </conditionalFormatting>
  <conditionalFormatting sqref="AI25:AK25">
    <cfRule type="containsBlanks" dxfId="191" priority="8345">
      <formula>LEN(TRIM(AI25))=0</formula>
    </cfRule>
    <cfRule type="expression" dxfId="190" priority="8346">
      <formula>AND($M25&lt;&gt;"",$AI25&lt;&gt;"",AI25&lt;$M25)</formula>
    </cfRule>
    <cfRule type="expression" dxfId="189" priority="8347">
      <formula>AND($L25&lt;&gt;"",$AI25&lt;&gt;"",AI25&gt;$L25)</formula>
    </cfRule>
    <cfRule type="notContainsBlanks" dxfId="188" priority="8348">
      <formula>LEN(TRIM(AI25))&gt;0</formula>
    </cfRule>
  </conditionalFormatting>
  <conditionalFormatting sqref="AI26:AK26">
    <cfRule type="containsBlanks" dxfId="187" priority="8353">
      <formula>LEN(TRIM(AI26))=0</formula>
    </cfRule>
    <cfRule type="expression" dxfId="186" priority="8354">
      <formula>AND($M26&lt;&gt;"",$AI26&lt;&gt;"",AI26&lt;$M26)</formula>
    </cfRule>
    <cfRule type="expression" dxfId="185" priority="8355">
      <formula>AND($L26&lt;&gt;"",$AI26&lt;&gt;"",AI26&gt;$L26)</formula>
    </cfRule>
    <cfRule type="notContainsBlanks" dxfId="184" priority="8356">
      <formula>LEN(TRIM(AI26))&gt;0</formula>
    </cfRule>
  </conditionalFormatting>
  <conditionalFormatting sqref="AI28:AK28">
    <cfRule type="containsBlanks" dxfId="183" priority="8071">
      <formula>LEN(TRIM(AI28))=0</formula>
    </cfRule>
    <cfRule type="expression" dxfId="182" priority="8072">
      <formula>AND($M28&lt;&gt;"",$AI28&lt;&gt;"",AI28&lt;$M28)</formula>
    </cfRule>
    <cfRule type="expression" dxfId="181" priority="8073">
      <formula>AND($L28&lt;&gt;"",$AI28&lt;&gt;"",AI28&gt;$L28)</formula>
    </cfRule>
    <cfRule type="notContainsBlanks" dxfId="180" priority="8074">
      <formula>LEN(TRIM(AI28))&gt;0</formula>
    </cfRule>
  </conditionalFormatting>
  <conditionalFormatting sqref="AI29:AK29">
    <cfRule type="containsBlanks" dxfId="179" priority="8067">
      <formula>LEN(TRIM(AI29))=0</formula>
    </cfRule>
    <cfRule type="expression" dxfId="178" priority="8068">
      <formula>AND($M29&lt;&gt;"",$AI29&lt;&gt;"",AI29&lt;$M29)</formula>
    </cfRule>
    <cfRule type="expression" dxfId="177" priority="8069">
      <formula>AND($L29&lt;&gt;"",$AI29&lt;&gt;"",AI29&gt;$L29)</formula>
    </cfRule>
    <cfRule type="notContainsBlanks" dxfId="176" priority="8070">
      <formula>LEN(TRIM(AI29))&gt;0</formula>
    </cfRule>
  </conditionalFormatting>
  <conditionalFormatting sqref="AI34:AK34">
    <cfRule type="containsBlanks" dxfId="175" priority="8075">
      <formula>LEN(TRIM(AI34))=0</formula>
    </cfRule>
    <cfRule type="expression" dxfId="174" priority="8076">
      <formula>AND($M34&lt;&gt;"",$AI34&lt;&gt;"",AI34&lt;$M34)</formula>
    </cfRule>
    <cfRule type="expression" dxfId="173" priority="8077">
      <formula>AND($L34&lt;&gt;"",$AI34&lt;&gt;"",AI34&gt;$L34)</formula>
    </cfRule>
    <cfRule type="notContainsBlanks" dxfId="172" priority="8078">
      <formula>LEN(TRIM(AI34))&gt;0</formula>
    </cfRule>
  </conditionalFormatting>
  <conditionalFormatting sqref="AI35:BN35">
    <cfRule type="containsBlanks" dxfId="171" priority="7949">
      <formula>LEN(TRIM(AI35))=0</formula>
    </cfRule>
    <cfRule type="expression" dxfId="170" priority="7950">
      <formula>AND($M35&lt;&gt;"",$AI35&lt;&gt;"",AI35&lt;$M35)</formula>
    </cfRule>
    <cfRule type="expression" dxfId="169" priority="7951">
      <formula>AND($L35&lt;&gt;"",$AI35&lt;&gt;"",AI35&gt;$L35)</formula>
    </cfRule>
    <cfRule type="notContainsBlanks" dxfId="168" priority="7952">
      <formula>LEN(TRIM(AI35))&gt;0</formula>
    </cfRule>
  </conditionalFormatting>
  <conditionalFormatting sqref="BO35:ED35">
    <cfRule type="containsBlanks" dxfId="167" priority="8060">
      <formula>LEN(TRIM(BO35))=0</formula>
    </cfRule>
  </conditionalFormatting>
  <conditionalFormatting sqref="AI38:AK38">
    <cfRule type="containsBlanks" dxfId="166" priority="7124">
      <formula>LEN(TRIM(AI38))=0</formula>
    </cfRule>
    <cfRule type="expression" dxfId="165" priority="7125">
      <formula>AND($M38&lt;&gt;"",$AI38&lt;&gt;"",AI38&lt;$M38)</formula>
    </cfRule>
    <cfRule type="expression" dxfId="164" priority="7126">
      <formula>AND($L38&lt;&gt;"",$AI38&lt;&gt;"",AI38&gt;$L38)</formula>
    </cfRule>
    <cfRule type="notContainsBlanks" dxfId="163" priority="7127">
      <formula>LEN(TRIM(AI38))&gt;0</formula>
    </cfRule>
  </conditionalFormatting>
  <conditionalFormatting sqref="AI39:AK39">
    <cfRule type="containsBlanks" dxfId="162" priority="7120">
      <formula>LEN(TRIM(AI39))=0</formula>
    </cfRule>
    <cfRule type="expression" dxfId="161" priority="7121">
      <formula>AND($M39&lt;&gt;"",$AI39&lt;&gt;"",AI39&lt;$M39)</formula>
    </cfRule>
    <cfRule type="expression" dxfId="160" priority="7122">
      <formula>AND($L39&lt;&gt;"",$AI39&lt;&gt;"",AI39&gt;$L39)</formula>
    </cfRule>
    <cfRule type="notContainsBlanks" dxfId="159" priority="7123">
      <formula>LEN(TRIM(AI39))&gt;0</formula>
    </cfRule>
  </conditionalFormatting>
  <conditionalFormatting sqref="AI40:AK40">
    <cfRule type="containsBlanks" dxfId="158" priority="7128">
      <formula>LEN(TRIM(AI40))=0</formula>
    </cfRule>
    <cfRule type="expression" dxfId="157" priority="7129">
      <formula>AND($M40&lt;&gt;"",$AI40&lt;&gt;"",AI40&lt;$M40)</formula>
    </cfRule>
    <cfRule type="expression" dxfId="156" priority="7130">
      <formula>AND($L40&lt;&gt;"",$AI40&lt;&gt;"",AI40&gt;$L40)</formula>
    </cfRule>
    <cfRule type="notContainsBlanks" dxfId="155" priority="7131">
      <formula>LEN(TRIM(AI40))&gt;0</formula>
    </cfRule>
  </conditionalFormatting>
  <conditionalFormatting sqref="AI42:AK42">
    <cfRule type="containsBlanks" dxfId="154" priority="7101">
      <formula>LEN(TRIM(AI42))=0</formula>
    </cfRule>
    <cfRule type="expression" dxfId="153" priority="7102">
      <formula>AND($M42&lt;&gt;"",$AI42&lt;&gt;"",AI42&lt;$M42)</formula>
    </cfRule>
    <cfRule type="expression" dxfId="152" priority="7103">
      <formula>AND($L42&lt;&gt;"",$AI42&lt;&gt;"",AI42&gt;$L42)</formula>
    </cfRule>
    <cfRule type="notContainsBlanks" dxfId="151" priority="7104">
      <formula>LEN(TRIM(AI42))&gt;0</formula>
    </cfRule>
  </conditionalFormatting>
  <conditionalFormatting sqref="G11:G58">
    <cfRule type="expression" dxfId="150" priority="187">
      <formula>AND($F11&lt;&gt;"Tolerance",$G11&lt;&gt;"")</formula>
    </cfRule>
    <cfRule type="expression" dxfId="149" priority="188">
      <formula>AND(OR($F11="GD&amp;T",$F11="MAX",$F11="MIN"),$G11="")</formula>
    </cfRule>
    <cfRule type="containsBlanks" dxfId="148" priority="189">
      <formula>LEN(TRIM(G11))=0</formula>
    </cfRule>
    <cfRule type="expression" dxfId="147" priority="190">
      <formula>AND($F11&lt;&gt;"Tolerance",$G11&lt;&gt;"")</formula>
    </cfRule>
    <cfRule type="expression" dxfId="146" priority="191">
      <formula>AND(OR($F11="GD&amp;T",$F11="MAX",$F11="MIN"),$G11="")</formula>
    </cfRule>
    <cfRule type="containsBlanks" dxfId="145" priority="192">
      <formula>LEN(TRIM(G11))=0</formula>
    </cfRule>
  </conditionalFormatting>
  <conditionalFormatting sqref="H11:H58">
    <cfRule type="expression" dxfId="144" priority="196">
      <formula>AND($F11="MIN",$H11&lt;&gt;"")</formula>
    </cfRule>
    <cfRule type="expression" dxfId="143" priority="197">
      <formula>AND($F11="MIN",$H11="")</formula>
    </cfRule>
    <cfRule type="containsBlanks" dxfId="142" priority="198">
      <formula>LEN(TRIM(H11))=0</formula>
    </cfRule>
  </conditionalFormatting>
  <conditionalFormatting sqref="I11:I58">
    <cfRule type="expression" dxfId="141" priority="193">
      <formula>AND(OR($F11="GD&amp;T",$F11="MAX"),$I11&lt;&gt;"")</formula>
    </cfRule>
    <cfRule type="expression" dxfId="140" priority="194">
      <formula>AND(OR($F11="GD&amp;T",$F11="MAX"),$I11="")</formula>
    </cfRule>
    <cfRule type="containsBlanks" dxfId="139" priority="195">
      <formula>LEN(TRIM(I11))=0</formula>
    </cfRule>
  </conditionalFormatting>
  <conditionalFormatting sqref="W11:W58">
    <cfRule type="notContainsBlanks" dxfId="138" priority="11259">
      <formula>LEN(TRIM(W11))&gt;0</formula>
    </cfRule>
  </conditionalFormatting>
  <conditionalFormatting sqref="BO30:ED33 BO11:ED11 AL12:AM12 AQ12:ED12 BO17:ED17 AL13:ED16 AL18:ED27 AQ37:ED42 AL37:AM42 BO35:ED36 BO43:ED58 O11:Q58">
    <cfRule type="expression" dxfId="137" priority="11260">
      <formula>AND($M11&lt;&gt;"",$AI11&lt;&gt;"",O11&lt;$M11)</formula>
    </cfRule>
    <cfRule type="expression" dxfId="136" priority="11262">
      <formula>AND($L11&lt;&gt;"",$AI11&lt;&gt;"",O11&gt;$L11)</formula>
    </cfRule>
    <cfRule type="notContainsBlanks" dxfId="135" priority="11263">
      <formula>LEN(TRIM(O11))&gt;0</formula>
    </cfRule>
  </conditionalFormatting>
  <conditionalFormatting sqref="R11:AA58">
    <cfRule type="expression" dxfId="134" priority="204">
      <formula>AND($AB11&lt;0.966,$AB11&lt;&gt;"")</formula>
    </cfRule>
  </conditionalFormatting>
  <conditionalFormatting sqref="S11:V58">
    <cfRule type="cellIs" dxfId="133" priority="208" operator="lessThan">
      <formula>$E11</formula>
    </cfRule>
    <cfRule type="notContainsBlanks" dxfId="132" priority="215">
      <formula>LEN(TRIM(S11))&gt;0</formula>
    </cfRule>
  </conditionalFormatting>
  <conditionalFormatting sqref="S11:W58">
    <cfRule type="expression" dxfId="131" priority="203">
      <formula>$K11="Yes"</formula>
    </cfRule>
  </conditionalFormatting>
  <conditionalFormatting sqref="W11:AA58">
    <cfRule type="containsBlanks" dxfId="130" priority="11252">
      <formula>LEN(TRIM(W11))=0</formula>
    </cfRule>
    <cfRule type="cellIs" dxfId="129" priority="11253" operator="between">
      <formula>0.9</formula>
      <formula>0.998</formula>
    </cfRule>
    <cfRule type="cellIs" dxfId="128" priority="11254" operator="greaterThanOrEqual">
      <formula>0.998</formula>
    </cfRule>
  </conditionalFormatting>
  <conditionalFormatting sqref="AB11:AC58">
    <cfRule type="expression" dxfId="127" priority="210">
      <formula>AND($AB11&lt;0.966,$AB11&lt;&gt;"")</formula>
    </cfRule>
  </conditionalFormatting>
  <conditionalFormatting sqref="AI41:AK41 AI43:AM50 AQ43:BN50 AI30:BN33 AI11:BN11 AN12:AP12 AI13:AK15 AI17:BN17 AI27:AK27 AI37:AK37 AN37:AP50 AI36:BN36">
    <cfRule type="containsBlanks" dxfId="126" priority="10580">
      <formula>LEN(TRIM(AI11))=0</formula>
    </cfRule>
    <cfRule type="expression" dxfId="125" priority="10581">
      <formula>AND($M11&lt;&gt;"",$AI11&lt;&gt;"",AI11&lt;$M11)</formula>
    </cfRule>
    <cfRule type="expression" dxfId="124" priority="10582">
      <formula>AND($L11&lt;&gt;"",$AI11&lt;&gt;"",AI11&gt;$L11)</formula>
    </cfRule>
    <cfRule type="notContainsBlanks" dxfId="123" priority="10583">
      <formula>LEN(TRIM(AI11))&gt;0</formula>
    </cfRule>
  </conditionalFormatting>
  <conditionalFormatting sqref="AL42:AM42 AL24:ED27 AQ42:ED42 BO30:ED33 BO11:ED11 BO43:ED58 AL12:AM12 AQ12:ED12 AL15:ED16 BO17:ED17 BO36:ED36 AL37:AM37 AQ37:ED37">
    <cfRule type="containsBlanks" dxfId="122" priority="11257">
      <formula>LEN(TRIM(AL11))=0</formula>
    </cfRule>
  </conditionalFormatting>
  <conditionalFormatting sqref="AI12:AK12 AI51:BN58">
    <cfRule type="containsBlanks" dxfId="121" priority="10560">
      <formula>LEN(TRIM(AI12))=0</formula>
    </cfRule>
    <cfRule type="expression" dxfId="120" priority="10561">
      <formula>AND($M12&lt;&gt;"",$AI12&lt;&gt;"",AI12&lt;$M12)</formula>
    </cfRule>
    <cfRule type="expression" dxfId="119" priority="10562">
      <formula>AND($L12&lt;&gt;"",$AI12&lt;&gt;"",AI12&gt;$L12)</formula>
    </cfRule>
    <cfRule type="notContainsBlanks" dxfId="118" priority="10563">
      <formula>LEN(TRIM(AI12))&gt;0</formula>
    </cfRule>
  </conditionalFormatting>
  <conditionalFormatting sqref="AL13:ED14">
    <cfRule type="containsBlanks" dxfId="117" priority="10798">
      <formula>LEN(TRIM(AL13))=0</formula>
    </cfRule>
  </conditionalFormatting>
  <conditionalFormatting sqref="AL18:ED21">
    <cfRule type="containsBlanks" dxfId="116" priority="8550">
      <formula>LEN(TRIM(AL18))=0</formula>
    </cfRule>
  </conditionalFormatting>
  <conditionalFormatting sqref="AI21:AK23">
    <cfRule type="containsBlanks" dxfId="115" priority="8411">
      <formula>LEN(TRIM(AI21))=0</formula>
    </cfRule>
    <cfRule type="expression" dxfId="114" priority="8412">
      <formula>AND($M21&lt;&gt;"",$AI21&lt;&gt;"",AI21&lt;$M21)</formula>
    </cfRule>
    <cfRule type="expression" dxfId="113" priority="8413">
      <formula>AND($L21&lt;&gt;"",$AI21&lt;&gt;"",AI21&gt;$L21)</formula>
    </cfRule>
    <cfRule type="notContainsBlanks" dxfId="112" priority="8414">
      <formula>LEN(TRIM(AI21))&gt;0</formula>
    </cfRule>
  </conditionalFormatting>
  <conditionalFormatting sqref="AL22:ED23">
    <cfRule type="containsBlanks" dxfId="111" priority="8542">
      <formula>LEN(TRIM(AL22))=0</formula>
    </cfRule>
  </conditionalFormatting>
  <conditionalFormatting sqref="AL28:ED29 AL34:ED34">
    <cfRule type="containsBlanks" dxfId="110" priority="8094">
      <formula>LEN(TRIM(AL28))=0</formula>
    </cfRule>
    <cfRule type="expression" dxfId="109" priority="8308">
      <formula>AND($M28&lt;&gt;"",$AI28&lt;&gt;"",AL28&lt;$M28)</formula>
    </cfRule>
    <cfRule type="expression" dxfId="108" priority="8309">
      <formula>AND($L28&lt;&gt;"",$AI28&lt;&gt;"",AL28&gt;$L28)</formula>
    </cfRule>
    <cfRule type="notContainsBlanks" dxfId="107" priority="8310">
      <formula>LEN(TRIM(AL28))&gt;0</formula>
    </cfRule>
  </conditionalFormatting>
  <conditionalFormatting sqref="AL38:AM41 AQ38:ED41">
    <cfRule type="containsBlanks" dxfId="106" priority="7173">
      <formula>LEN(TRIM(AL38))=0</formula>
    </cfRule>
  </conditionalFormatting>
  <dataValidations count="3">
    <dataValidation type="list" allowBlank="1" showInputMessage="1" showErrorMessage="1" sqref="F11:F58" xr:uid="{00000000-0002-0000-0000-000000000000}">
      <formula1>dim_type</formula1>
    </dataValidation>
    <dataValidation type="list" allowBlank="1" showInputMessage="1" showErrorMessage="1" sqref="J11:J58" xr:uid="{00000000-0002-0000-0000-000001000000}">
      <formula1>insp_meth</formula1>
    </dataValidation>
    <dataValidation type="list" allowBlank="1" showInputMessage="1" showErrorMessage="1" sqref="K11:K58" xr:uid="{00000000-0002-0000-0000-000002000000}">
      <formula1>gauging</formula1>
    </dataValidation>
  </dataValidations>
  <pageMargins left="0.75" right="0.75" top="1" bottom="1" header="0.5" footer="0.5"/>
  <pageSetup orientation="portrait"/>
  <ignoredErrors>
    <ignoredError sqref="N13:N14 N12 L11:AA11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" r:id="rId3" name="Button 29">
              <controlPr defaultSize="0" print="0" autoPict="0" macro="[0]!updateNormality">
                <anchor moveWithCells="1" sizeWithCells="1">
                  <from>
                    <xdr:col>2</xdr:col>
                    <xdr:colOff>9525</xdr:colOff>
                    <xdr:row>1</xdr:row>
                    <xdr:rowOff>28575</xdr:rowOff>
                  </from>
                  <to>
                    <xdr:col>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4" name="Button 30">
              <controlPr defaultSize="0" print="0" autoPict="0" macro="[0]!showAddShtFrm">
                <anchor moveWithCells="1" sizeWithCells="1">
                  <from>
                    <xdr:col>3</xdr:col>
                    <xdr:colOff>0</xdr:colOff>
                    <xdr:row>1</xdr:row>
                    <xdr:rowOff>9525</xdr:rowOff>
                  </from>
                  <to>
                    <xdr:col>5</xdr:col>
                    <xdr:colOff>409575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5" name="Button 31">
              <controlPr defaultSize="0" print="0" autoPict="0" macro="[0]!showExportFrm">
                <anchor moveWithCells="1" sizeWithCells="1"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7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6" name="Button 39">
              <controlPr defaultSize="0" print="0" autoPict="0" macro="[0]!showImport">
                <anchor moveWithCells="1" sizeWithCells="1">
                  <from>
                    <xdr:col>7</xdr:col>
                    <xdr:colOff>371475</xdr:colOff>
                    <xdr:row>1</xdr:row>
                    <xdr:rowOff>9525</xdr:rowOff>
                  </from>
                  <to>
                    <xdr:col>9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7" name="Button 41">
              <controlPr defaultSize="0" print="0" autoPict="0" macro="[0]!detectOutliers">
                <anchor moveWithCells="1" sizeWithCells="1">
                  <from>
                    <xdr:col>10</xdr:col>
                    <xdr:colOff>28575</xdr:colOff>
                    <xdr:row>1</xdr:row>
                    <xdr:rowOff>9525</xdr:rowOff>
                  </from>
                  <to>
                    <xdr:col>12</xdr:col>
                    <xdr:colOff>304800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I60"/>
  <sheetViews>
    <sheetView zoomScale="70" zoomScaleNormal="70" workbookViewId="0">
      <pane xSplit="14" ySplit="10" topLeftCell="O16" activePane="bottomRight" state="frozen"/>
      <selection pane="topRight"/>
      <selection pane="bottomLeft"/>
      <selection pane="bottomRight" activeCell="C11" sqref="C11:C58"/>
    </sheetView>
  </sheetViews>
  <sheetFormatPr defaultColWidth="8.875" defaultRowHeight="15.75"/>
  <cols>
    <col min="1" max="1" width="2.125" hidden="1" customWidth="1"/>
    <col min="2" max="3" width="7.875" customWidth="1"/>
    <col min="4" max="4" width="24.75" customWidth="1"/>
    <col min="5" max="5" width="7.625" customWidth="1"/>
    <col min="6" max="6" width="9" customWidth="1"/>
    <col min="7" max="7" width="7.875" customWidth="1"/>
    <col min="8" max="9" width="8.375" customWidth="1"/>
    <col min="10" max="13" width="7.875" customWidth="1"/>
    <col min="14" max="14" width="1.125" customWidth="1"/>
    <col min="15" max="15" width="8.375" customWidth="1"/>
    <col min="16" max="23" width="7.875" customWidth="1"/>
    <col min="24" max="24" width="10" customWidth="1"/>
    <col min="25" max="27" width="9.625" customWidth="1"/>
    <col min="28" max="28" width="7.875" customWidth="1"/>
    <col min="29" max="29" width="9" customWidth="1"/>
    <col min="30" max="30" width="21.25" customWidth="1"/>
    <col min="31" max="33" width="9" hidden="1" customWidth="1"/>
    <col min="34" max="34" width="0.875" customWidth="1"/>
    <col min="35" max="134" width="7.875" customWidth="1"/>
  </cols>
  <sheetData>
    <row r="1" spans="1:217" s="5" customFormat="1" ht="21.95" customHeight="1">
      <c r="A1" s="91" t="s">
        <v>0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8"/>
      <c r="AE1" s="8"/>
      <c r="AF1" s="8"/>
      <c r="AG1" s="8"/>
      <c r="AH1" s="66"/>
    </row>
    <row r="2" spans="1:217" s="5" customFormat="1" ht="14.1" customHeight="1">
      <c r="B2" s="9" t="s">
        <v>1</v>
      </c>
      <c r="C2" s="9"/>
      <c r="D2" s="10"/>
      <c r="E2" s="10"/>
      <c r="F2" s="10"/>
      <c r="I2" s="10"/>
      <c r="J2" s="10"/>
      <c r="K2" s="10"/>
      <c r="L2" s="10"/>
      <c r="M2" s="10"/>
      <c r="O2" s="10"/>
      <c r="P2" s="10"/>
      <c r="Q2" s="10"/>
      <c r="R2" s="10"/>
      <c r="S2" s="4"/>
      <c r="T2" s="92" t="s">
        <v>2</v>
      </c>
      <c r="U2" s="92"/>
      <c r="V2" s="4"/>
      <c r="Z2" s="10"/>
      <c r="AC2" s="10"/>
      <c r="AD2" s="10"/>
      <c r="AE2" s="10"/>
      <c r="AF2" s="10"/>
      <c r="AG2" s="10"/>
      <c r="AH2" s="10"/>
    </row>
    <row r="3" spans="1:217" s="5" customFormat="1" ht="9" customHeight="1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217" s="5" customFormat="1" ht="18.75" customHeight="1">
      <c r="B4" s="93" t="s">
        <v>3</v>
      </c>
      <c r="C4" s="94"/>
      <c r="D4" s="119" t="s">
        <v>76</v>
      </c>
      <c r="E4" s="12"/>
      <c r="F4" s="95" t="s">
        <v>4</v>
      </c>
      <c r="G4" s="96"/>
      <c r="H4" s="97" t="s">
        <v>5</v>
      </c>
      <c r="I4" s="98"/>
      <c r="J4" s="98"/>
      <c r="K4" s="98"/>
      <c r="L4" s="98"/>
      <c r="M4" s="99"/>
      <c r="N4" s="32"/>
      <c r="O4" s="93" t="s">
        <v>6</v>
      </c>
      <c r="P4" s="100"/>
      <c r="Q4" s="94"/>
      <c r="R4" s="101" t="s">
        <v>80</v>
      </c>
      <c r="S4" s="102"/>
      <c r="T4" s="102"/>
      <c r="U4" s="103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HI4" s="5" t="e">
        <f>'SS1-2'!#REF!</f>
        <v>#REF!</v>
      </c>
    </row>
    <row r="5" spans="1:217" s="5" customFormat="1" ht="18.75" customHeight="1">
      <c r="B5" s="93" t="s">
        <v>7</v>
      </c>
      <c r="C5" s="94"/>
      <c r="D5" s="11" t="s">
        <v>77</v>
      </c>
      <c r="E5" s="12"/>
      <c r="F5" s="95" t="s">
        <v>8</v>
      </c>
      <c r="G5" s="96"/>
      <c r="H5" s="104" t="s">
        <v>78</v>
      </c>
      <c r="I5" s="98"/>
      <c r="J5" s="98"/>
      <c r="K5" s="98"/>
      <c r="L5" s="98"/>
      <c r="M5" s="99"/>
      <c r="N5" s="32"/>
      <c r="O5" s="93" t="s">
        <v>9</v>
      </c>
      <c r="P5" s="100"/>
      <c r="Q5" s="94"/>
      <c r="R5" s="105" t="s">
        <v>81</v>
      </c>
      <c r="S5" s="102"/>
      <c r="T5" s="102"/>
      <c r="U5" s="103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</row>
    <row r="6" spans="1:217" s="5" customFormat="1" ht="18.75" customHeight="1">
      <c r="B6" s="93" t="s">
        <v>10</v>
      </c>
      <c r="C6" s="94"/>
      <c r="D6" s="13" t="s">
        <v>75</v>
      </c>
      <c r="E6" s="12"/>
      <c r="F6" s="95" t="s">
        <v>11</v>
      </c>
      <c r="G6" s="96"/>
      <c r="H6" s="104" t="s">
        <v>79</v>
      </c>
      <c r="I6" s="98"/>
      <c r="J6" s="98"/>
      <c r="K6" s="98"/>
      <c r="L6" s="98"/>
      <c r="M6" s="99"/>
      <c r="N6" s="32"/>
      <c r="O6" s="93" t="s">
        <v>12</v>
      </c>
      <c r="P6" s="100"/>
      <c r="Q6" s="94"/>
      <c r="R6" s="106" t="s">
        <v>82</v>
      </c>
      <c r="S6" s="107"/>
      <c r="T6" s="107"/>
      <c r="U6" s="108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</row>
    <row r="7" spans="1:217" s="5" customFormat="1" ht="9" customHeight="1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0"/>
    </row>
    <row r="8" spans="1:217" s="6" customFormat="1" ht="15" customHeight="1">
      <c r="A8" s="15"/>
      <c r="B8" s="109" t="s">
        <v>13</v>
      </c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1"/>
      <c r="N8" s="15"/>
      <c r="O8" s="109" t="s">
        <v>14</v>
      </c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1"/>
      <c r="AE8" s="112" t="s">
        <v>15</v>
      </c>
      <c r="AF8" s="112"/>
      <c r="AG8" s="112"/>
      <c r="AH8" s="15"/>
      <c r="AI8" s="113" t="s">
        <v>16</v>
      </c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  <c r="AW8" s="114"/>
      <c r="AX8" s="114"/>
      <c r="AY8" s="114"/>
      <c r="AZ8" s="114"/>
      <c r="BA8" s="114"/>
      <c r="BB8" s="114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5"/>
    </row>
    <row r="9" spans="1:217" s="6" customFormat="1" ht="24.95" customHeight="1">
      <c r="A9" s="16"/>
      <c r="B9" s="17"/>
      <c r="C9" s="17"/>
      <c r="D9" s="17"/>
      <c r="E9" s="17"/>
      <c r="F9" s="17"/>
      <c r="G9" s="18"/>
      <c r="H9" s="84" t="s">
        <v>17</v>
      </c>
      <c r="I9" s="84" t="s">
        <v>18</v>
      </c>
      <c r="J9" s="33"/>
      <c r="K9" s="33"/>
      <c r="L9" s="34"/>
      <c r="M9" s="34"/>
      <c r="N9" s="16"/>
      <c r="O9" s="35"/>
      <c r="P9" s="35"/>
      <c r="Q9" s="47"/>
      <c r="R9" s="35"/>
      <c r="S9" s="48"/>
      <c r="T9" s="48"/>
      <c r="U9" s="48"/>
      <c r="V9" s="48"/>
      <c r="W9" s="48"/>
      <c r="X9" s="116" t="s">
        <v>19</v>
      </c>
      <c r="Y9" s="117"/>
      <c r="Z9" s="49" t="s">
        <v>20</v>
      </c>
      <c r="AA9" s="56">
        <v>1.5</v>
      </c>
      <c r="AB9" s="57"/>
      <c r="AC9" s="57"/>
      <c r="AD9" s="58"/>
      <c r="AE9" s="59"/>
      <c r="AF9" s="59"/>
      <c r="AG9" s="67"/>
      <c r="AH9" s="68"/>
      <c r="AI9" s="69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8"/>
    </row>
    <row r="10" spans="1:217" s="7" customFormat="1" ht="24">
      <c r="A10" s="19"/>
      <c r="B10" s="20" t="s">
        <v>21</v>
      </c>
      <c r="C10" s="20" t="s">
        <v>22</v>
      </c>
      <c r="D10" s="20" t="s">
        <v>23</v>
      </c>
      <c r="E10" s="20" t="s">
        <v>24</v>
      </c>
      <c r="F10" s="20" t="s">
        <v>25</v>
      </c>
      <c r="G10" s="21" t="s">
        <v>26</v>
      </c>
      <c r="H10" s="85" t="s">
        <v>27</v>
      </c>
      <c r="I10" s="85" t="s">
        <v>28</v>
      </c>
      <c r="J10" s="36" t="s">
        <v>29</v>
      </c>
      <c r="K10" s="36" t="s">
        <v>30</v>
      </c>
      <c r="L10" s="37" t="s">
        <v>31</v>
      </c>
      <c r="M10" s="37" t="s">
        <v>32</v>
      </c>
      <c r="N10" s="19"/>
      <c r="O10" s="38" t="s">
        <v>33</v>
      </c>
      <c r="P10" s="38" t="s">
        <v>34</v>
      </c>
      <c r="Q10" s="50" t="s">
        <v>35</v>
      </c>
      <c r="R10" s="38" t="s">
        <v>36</v>
      </c>
      <c r="S10" s="51" t="s">
        <v>37</v>
      </c>
      <c r="T10" s="51" t="s">
        <v>38</v>
      </c>
      <c r="U10" s="51" t="s">
        <v>39</v>
      </c>
      <c r="V10" s="51" t="s">
        <v>40</v>
      </c>
      <c r="W10" s="51" t="s">
        <v>41</v>
      </c>
      <c r="X10" s="86" t="s">
        <v>42</v>
      </c>
      <c r="Y10" s="86" t="s">
        <v>43</v>
      </c>
      <c r="Z10" s="87" t="s">
        <v>44</v>
      </c>
      <c r="AA10" s="88" t="s">
        <v>45</v>
      </c>
      <c r="AB10" s="60" t="s">
        <v>46</v>
      </c>
      <c r="AC10" s="60" t="s">
        <v>47</v>
      </c>
      <c r="AD10" s="60" t="s">
        <v>48</v>
      </c>
      <c r="AE10" s="59"/>
      <c r="AF10" s="59"/>
      <c r="AG10" s="67"/>
      <c r="AH10" s="71"/>
      <c r="AI10" s="72">
        <v>1</v>
      </c>
      <c r="AJ10" s="72">
        <v>2</v>
      </c>
      <c r="AK10" s="72">
        <v>3</v>
      </c>
      <c r="AL10" s="72">
        <v>4</v>
      </c>
      <c r="AM10" s="72">
        <v>5</v>
      </c>
      <c r="AN10" s="72">
        <v>6</v>
      </c>
      <c r="AO10" s="72">
        <v>7</v>
      </c>
      <c r="AP10" s="72">
        <v>8</v>
      </c>
      <c r="AQ10" s="72">
        <v>9</v>
      </c>
      <c r="AR10" s="72">
        <v>10</v>
      </c>
      <c r="AS10" s="72">
        <v>11</v>
      </c>
      <c r="AT10" s="72">
        <v>12</v>
      </c>
      <c r="AU10" s="72">
        <v>13</v>
      </c>
      <c r="AV10" s="72">
        <v>14</v>
      </c>
      <c r="AW10" s="72">
        <v>15</v>
      </c>
      <c r="AX10" s="72">
        <v>16</v>
      </c>
      <c r="AY10" s="72">
        <v>17</v>
      </c>
      <c r="AZ10" s="72">
        <v>18</v>
      </c>
      <c r="BA10" s="72">
        <v>19</v>
      </c>
      <c r="BB10" s="72">
        <v>20</v>
      </c>
      <c r="BC10" s="72">
        <v>21</v>
      </c>
      <c r="BD10" s="72">
        <v>22</v>
      </c>
      <c r="BE10" s="72">
        <v>23</v>
      </c>
      <c r="BF10" s="72">
        <v>24</v>
      </c>
      <c r="BG10" s="72">
        <v>25</v>
      </c>
      <c r="BH10" s="72">
        <v>26</v>
      </c>
      <c r="BI10" s="72">
        <v>27</v>
      </c>
      <c r="BJ10" s="72">
        <v>28</v>
      </c>
      <c r="BK10" s="72">
        <v>29</v>
      </c>
      <c r="BL10" s="72">
        <v>30</v>
      </c>
      <c r="BM10" s="72">
        <v>31</v>
      </c>
      <c r="BN10" s="72">
        <v>32</v>
      </c>
      <c r="BO10" s="79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  <c r="CZ10" s="72"/>
      <c r="DA10" s="72"/>
      <c r="DB10" s="72"/>
      <c r="DC10" s="72"/>
      <c r="DD10" s="72"/>
      <c r="DE10" s="72"/>
      <c r="DF10" s="72"/>
      <c r="DG10" s="72"/>
      <c r="DH10" s="72"/>
      <c r="DI10" s="72"/>
      <c r="DJ10" s="72"/>
      <c r="DK10" s="72"/>
      <c r="DL10" s="72"/>
      <c r="DM10" s="72"/>
      <c r="DN10" s="72"/>
      <c r="DO10" s="72"/>
      <c r="DP10" s="72"/>
      <c r="DQ10" s="72"/>
      <c r="DR10" s="72"/>
      <c r="DS10" s="72"/>
      <c r="DT10" s="72"/>
      <c r="DU10" s="72"/>
      <c r="DV10" s="72"/>
      <c r="DW10" s="72"/>
      <c r="DX10" s="72"/>
      <c r="DY10" s="72"/>
      <c r="DZ10" s="72"/>
      <c r="EA10" s="72"/>
      <c r="EB10" s="72"/>
      <c r="EC10" s="72"/>
      <c r="ED10" s="72"/>
    </row>
    <row r="11" spans="1:217" ht="15" customHeight="1">
      <c r="A11" s="22"/>
      <c r="B11" s="23" t="s">
        <v>49</v>
      </c>
      <c r="C11" s="24" t="s">
        <v>83</v>
      </c>
      <c r="D11" s="23"/>
      <c r="E11" s="23">
        <v>1.33</v>
      </c>
      <c r="F11" s="25" t="s">
        <v>50</v>
      </c>
      <c r="G11" s="26">
        <v>26.062999999999999</v>
      </c>
      <c r="H11" s="27">
        <v>0.03</v>
      </c>
      <c r="I11" s="27">
        <v>-0.03</v>
      </c>
      <c r="J11" s="39" t="s">
        <v>51</v>
      </c>
      <c r="K11" s="40" t="s">
        <v>52</v>
      </c>
      <c r="L11" s="41">
        <f t="shared" ref="L11:L58" si="0">IF(AND(G11="",H11=""),"",IF(G11="",H11,G11+H11))</f>
        <v>26.093</v>
      </c>
      <c r="M11" s="42">
        <f t="shared" ref="M11:M58" si="1">IF(AND(G11="",I11=""),"",IF(G11="",I11,G11+I11))</f>
        <v>26.032999999999998</v>
      </c>
      <c r="N11" s="43"/>
      <c r="O11" s="44">
        <f t="shared" ref="O11:O58" si="2">IF(OR($AI11="",ISNUMBER($AI11)=FALSE),"",MAX(AI11:ED11))</f>
        <v>26.079899999999999</v>
      </c>
      <c r="P11" s="44">
        <f t="shared" ref="P11:P58" si="3">IF(OR($AI11="",ISNUMBER($AI11)=FALSE),"",MIN(AI11:ED11))</f>
        <v>26.045999999999999</v>
      </c>
      <c r="Q11" s="44">
        <f t="shared" ref="Q11:Q58" si="4">IF(OR($AI11="",ISNUMBER($AI11)=FALSE),"",AVERAGE(AI11:ED11))</f>
        <v>26.068417241379315</v>
      </c>
      <c r="R11" s="52">
        <f t="shared" ref="R11:R58" si="5">IF(OR($AI11="",ISNUMBER($AI11)=FALSE),"",STDEV(AI11:ED11))</f>
        <v>7.6767770844241657E-3</v>
      </c>
      <c r="S11" s="53">
        <f t="shared" ref="S11:S58" si="6">IF(OR($AI11="",ISNUMBER($AI11)=FALSE),"",IF(AND(G11=0,I11=0),T11,IF(AND(G11="",H11=""),U11,(H11+ABS(I11))/(6*R11))))</f>
        <v>1.3026299826120453</v>
      </c>
      <c r="T11" s="53">
        <f t="shared" ref="T11:T58" si="7">IF(OR($AI11="",ISNUMBER($AI11)=FALSE),"",IF(H11="","",(L11-Q11)/(3*R11)))</f>
        <v>1.0674079478206355</v>
      </c>
      <c r="U11" s="53">
        <f t="shared" ref="U11:U58" si="8">IF(OR($AI11="",ISNUMBER($AI11)=FALSE),"",IF(I11="","",(Q11-M11)/(3*R11)))</f>
        <v>1.5378520174035542</v>
      </c>
      <c r="V11" s="53">
        <f t="shared" ref="V11:V58" si="9">IF(OR($AI11="",ISNUMBER($AI11)=FALSE),"",IF(AND(G11=0,I11=0),((H11)-(Q11))/(3*R11),MIN(T11:U11)))</f>
        <v>1.0674079478206355</v>
      </c>
      <c r="W11" s="54">
        <f t="shared" ref="W11:W58" si="10">IF(OR($AI11="",ISNUMBER($AI11)=FALSE),"",IF(AND(G11=0,I11=0),NORMSDIST(3*V11),NORMSDIST(3*V11)+NORMSDIST(6*S11-3*V11)-1))</f>
        <v>0.99931616588938654</v>
      </c>
      <c r="X11" s="55">
        <f t="shared" ref="X11:X58" si="11">IF($Q11="","",IF(F11="Tolerance",IF(($E11*3*R11+Q11)-G11&lt;H11,"",($E11*3*R11+Q11)-G11),IF(OR(F11="GD&amp;T",F11="MAX"),IF(($E11*3*R11+Q11)&lt;H11,"",($E11*3*R11+Q11)),"")))</f>
        <v>3.6047581946167639E-2</v>
      </c>
      <c r="Y11" s="55" t="str">
        <f t="shared" ref="Y11:Y58" si="12">IF(Q11="","",IF(F11="Tolerance",IF(-(($E11*3*R11)-Q11)-G11&gt;I11,"",-(($E11*3*R11)-Q11)-G11),IF(F11="MIN",IF(-(($E11*3*R11)-Q11)&gt;I11,"",-(($E11*3*R11)-Q11)),"")))</f>
        <v/>
      </c>
      <c r="Z11" s="55">
        <f t="shared" ref="Z11:Z58" si="13">IF(OR(G11="",Q11=""),"",(L11+M11)/2-Q11)</f>
        <v>-5.4172413793160956E-3</v>
      </c>
      <c r="AA11" s="55">
        <f t="shared" ref="AA11:AA58" si="14">IF(OR($S11&gt;$AA$9,$R11=""),"",$AA$9*6*$R11)</f>
        <v>6.909099375981749E-2</v>
      </c>
      <c r="AB11" s="61"/>
      <c r="AC11" s="62"/>
      <c r="AD11" s="63"/>
      <c r="AE11" s="64"/>
      <c r="AF11" s="64"/>
      <c r="AG11" s="73"/>
      <c r="AH11" s="74"/>
      <c r="AI11" s="75">
        <v>26.069900000000001</v>
      </c>
      <c r="AJ11" s="75">
        <v>26.068100000000001</v>
      </c>
      <c r="AK11" s="75">
        <v>26.066299999999998</v>
      </c>
      <c r="AL11" s="75">
        <v>26.057200000000002</v>
      </c>
      <c r="AM11" s="75">
        <v>26.064699999999998</v>
      </c>
      <c r="AN11" s="75">
        <v>26.045999999999999</v>
      </c>
      <c r="AO11" s="75">
        <v>26.0655</v>
      </c>
      <c r="AP11" s="75">
        <v>26.058</v>
      </c>
      <c r="AQ11" s="75">
        <v>26.0474</v>
      </c>
      <c r="AR11" s="75">
        <v>26.0671</v>
      </c>
      <c r="AS11" s="75">
        <v>26.0733</v>
      </c>
      <c r="AT11" s="75">
        <v>26.069800000000001</v>
      </c>
      <c r="AU11" s="75">
        <v>26.079899999999999</v>
      </c>
      <c r="AV11" s="75">
        <v>26.070399999999999</v>
      </c>
      <c r="AW11" s="75">
        <v>26.068899999999999</v>
      </c>
      <c r="AX11" s="75">
        <v>26.0731</v>
      </c>
      <c r="AY11" s="75">
        <v>26.0717</v>
      </c>
      <c r="AZ11" s="75">
        <v>26.074100000000001</v>
      </c>
      <c r="BA11" s="75">
        <v>26.067699999999999</v>
      </c>
      <c r="BB11" s="75">
        <v>26.072500000000002</v>
      </c>
      <c r="BC11" s="75">
        <v>26.078099999999999</v>
      </c>
      <c r="BD11" s="75">
        <v>26.072399999999998</v>
      </c>
      <c r="BE11" s="75">
        <v>26.071400000000001</v>
      </c>
      <c r="BF11" s="75">
        <v>26.072700000000001</v>
      </c>
      <c r="BG11" s="75">
        <v>26.072199999999999</v>
      </c>
      <c r="BH11" s="75">
        <v>26.070799999999998</v>
      </c>
      <c r="BI11" s="75">
        <v>26.0715</v>
      </c>
      <c r="BJ11" s="75">
        <v>26.073799999999999</v>
      </c>
      <c r="BK11" s="75">
        <v>26.069600000000001</v>
      </c>
      <c r="BL11" s="75"/>
      <c r="BM11" s="75"/>
      <c r="BN11" s="80"/>
      <c r="BO11" s="81"/>
      <c r="BP11" s="82"/>
      <c r="BQ11" s="82"/>
      <c r="BR11" s="82"/>
      <c r="BS11" s="82"/>
      <c r="BT11" s="82"/>
      <c r="BU11" s="82"/>
      <c r="BV11" s="82"/>
      <c r="BW11" s="82"/>
      <c r="BX11" s="82"/>
      <c r="BY11" s="82"/>
      <c r="BZ11" s="82"/>
      <c r="CA11" s="82"/>
      <c r="CB11" s="82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82"/>
      <c r="CP11" s="82"/>
      <c r="CQ11" s="82"/>
      <c r="CR11" s="82"/>
      <c r="CS11" s="82"/>
      <c r="CT11" s="82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2"/>
      <c r="DG11" s="82"/>
      <c r="DH11" s="82"/>
      <c r="DI11" s="82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2"/>
      <c r="DZ11" s="82"/>
      <c r="EA11" s="82"/>
      <c r="EB11" s="82"/>
      <c r="EC11" s="82"/>
      <c r="ED11" s="82"/>
    </row>
    <row r="12" spans="1:217" ht="15" customHeight="1">
      <c r="A12" s="22"/>
      <c r="B12" s="23" t="s">
        <v>49</v>
      </c>
      <c r="C12" s="24" t="s">
        <v>84</v>
      </c>
      <c r="D12" s="23"/>
      <c r="E12" s="23">
        <v>1.33</v>
      </c>
      <c r="F12" s="25" t="s">
        <v>50</v>
      </c>
      <c r="G12" s="26">
        <v>24.936</v>
      </c>
      <c r="H12" s="27">
        <v>0.03</v>
      </c>
      <c r="I12" s="27">
        <v>-0.03</v>
      </c>
      <c r="J12" s="39" t="s">
        <v>51</v>
      </c>
      <c r="K12" s="40" t="s">
        <v>52</v>
      </c>
      <c r="L12" s="41">
        <f t="shared" si="0"/>
        <v>24.966000000000001</v>
      </c>
      <c r="M12" s="42">
        <f t="shared" si="1"/>
        <v>24.905999999999999</v>
      </c>
      <c r="N12" s="45"/>
      <c r="O12" s="44">
        <f t="shared" si="2"/>
        <v>24.962700000000002</v>
      </c>
      <c r="P12" s="44">
        <f t="shared" si="3"/>
        <v>24.952200000000001</v>
      </c>
      <c r="Q12" s="44">
        <f t="shared" si="4"/>
        <v>24.957965517241377</v>
      </c>
      <c r="R12" s="52">
        <f t="shared" si="5"/>
        <v>2.6603270290467746E-3</v>
      </c>
      <c r="S12" s="53">
        <f t="shared" si="6"/>
        <v>3.7589363603854045</v>
      </c>
      <c r="T12" s="53">
        <f t="shared" si="7"/>
        <v>1.0067036459427763</v>
      </c>
      <c r="U12" s="53">
        <f t="shared" si="8"/>
        <v>6.5111690748283175</v>
      </c>
      <c r="V12" s="53">
        <f t="shared" si="9"/>
        <v>1.0067036459427763</v>
      </c>
      <c r="W12" s="54">
        <f t="shared" si="10"/>
        <v>0.99873658942980015</v>
      </c>
      <c r="X12" s="55">
        <f t="shared" si="11"/>
        <v>3.2580222087272404E-2</v>
      </c>
      <c r="Y12" s="55" t="str">
        <f t="shared" si="12"/>
        <v/>
      </c>
      <c r="Z12" s="55">
        <f t="shared" si="13"/>
        <v>-2.1965517241376631E-2</v>
      </c>
      <c r="AA12" s="55" t="str">
        <f t="shared" si="14"/>
        <v/>
      </c>
      <c r="AB12" s="61"/>
      <c r="AC12" s="62"/>
      <c r="AD12" s="63"/>
      <c r="AE12" s="64"/>
      <c r="AF12" s="64"/>
      <c r="AG12" s="73"/>
      <c r="AH12" s="74"/>
      <c r="AI12" s="75">
        <v>24.9575</v>
      </c>
      <c r="AJ12" s="75">
        <v>24.9587</v>
      </c>
      <c r="AK12" s="75">
        <v>24.9575</v>
      </c>
      <c r="AL12" s="75">
        <v>24.962700000000002</v>
      </c>
      <c r="AM12" s="75">
        <v>24.957899999999999</v>
      </c>
      <c r="AN12" s="75">
        <v>24.962399999999999</v>
      </c>
      <c r="AO12" s="75">
        <v>24.955300000000001</v>
      </c>
      <c r="AP12" s="75">
        <v>24.961099999999998</v>
      </c>
      <c r="AQ12" s="75">
        <v>24.961600000000001</v>
      </c>
      <c r="AR12" s="75">
        <v>24.952200000000001</v>
      </c>
      <c r="AS12" s="75">
        <v>24.959499999999998</v>
      </c>
      <c r="AT12" s="75">
        <v>24.9587</v>
      </c>
      <c r="AU12" s="75">
        <v>24.957699999999999</v>
      </c>
      <c r="AV12" s="75">
        <v>24.9602</v>
      </c>
      <c r="AW12" s="75">
        <v>24.953399999999998</v>
      </c>
      <c r="AX12" s="75">
        <v>24.956499999999998</v>
      </c>
      <c r="AY12" s="75">
        <v>24.957599999999999</v>
      </c>
      <c r="AZ12" s="75">
        <v>24.9556</v>
      </c>
      <c r="BA12" s="75">
        <v>24.9556</v>
      </c>
      <c r="BB12" s="75">
        <v>24.955400000000001</v>
      </c>
      <c r="BC12" s="75">
        <v>24.956499999999998</v>
      </c>
      <c r="BD12" s="75">
        <v>24.960699999999999</v>
      </c>
      <c r="BE12" s="75">
        <v>24.955300000000001</v>
      </c>
      <c r="BF12" s="75">
        <v>24.960599999999999</v>
      </c>
      <c r="BG12" s="75">
        <v>24.960899999999999</v>
      </c>
      <c r="BH12" s="75">
        <v>24.9556</v>
      </c>
      <c r="BI12" s="75">
        <v>24.959800000000001</v>
      </c>
      <c r="BJ12" s="75">
        <v>24.957799999999999</v>
      </c>
      <c r="BK12" s="75">
        <v>24.956700000000001</v>
      </c>
      <c r="BL12" s="75"/>
      <c r="BM12" s="75"/>
      <c r="BN12" s="80"/>
      <c r="BO12" s="81"/>
      <c r="BP12" s="82"/>
      <c r="BQ12" s="82"/>
      <c r="BR12" s="82"/>
      <c r="BS12" s="82"/>
      <c r="BT12" s="82"/>
      <c r="BU12" s="82"/>
      <c r="BV12" s="82"/>
      <c r="BW12" s="82"/>
      <c r="BX12" s="82"/>
      <c r="BY12" s="82"/>
      <c r="BZ12" s="82"/>
      <c r="CA12" s="82"/>
      <c r="CB12" s="82"/>
      <c r="CC12" s="82"/>
      <c r="CD12" s="82"/>
      <c r="CE12" s="82"/>
      <c r="CF12" s="82"/>
      <c r="CG12" s="82"/>
      <c r="CH12" s="82"/>
      <c r="CI12" s="82"/>
      <c r="CJ12" s="82"/>
      <c r="CK12" s="82"/>
      <c r="CL12" s="82"/>
      <c r="CM12" s="82"/>
      <c r="CN12" s="82"/>
      <c r="CO12" s="82"/>
      <c r="CP12" s="82"/>
      <c r="CQ12" s="82"/>
      <c r="CR12" s="82"/>
      <c r="CS12" s="82"/>
      <c r="CT12" s="82"/>
      <c r="CU12" s="82"/>
      <c r="CV12" s="82"/>
      <c r="CW12" s="82"/>
      <c r="CX12" s="82"/>
      <c r="CY12" s="82"/>
      <c r="CZ12" s="82"/>
      <c r="DA12" s="82"/>
      <c r="DB12" s="82"/>
      <c r="DC12" s="82"/>
      <c r="DD12" s="82"/>
      <c r="DE12" s="82"/>
      <c r="DF12" s="82"/>
      <c r="DG12" s="82"/>
      <c r="DH12" s="82"/>
      <c r="DI12" s="82"/>
      <c r="DJ12" s="82"/>
      <c r="DK12" s="82"/>
      <c r="DL12" s="82"/>
      <c r="DM12" s="82"/>
      <c r="DN12" s="82"/>
      <c r="DO12" s="82"/>
      <c r="DP12" s="82"/>
      <c r="DQ12" s="82"/>
      <c r="DR12" s="82"/>
      <c r="DS12" s="82"/>
      <c r="DT12" s="82"/>
      <c r="DU12" s="82"/>
      <c r="DV12" s="82"/>
      <c r="DW12" s="82"/>
      <c r="DX12" s="82"/>
      <c r="DY12" s="82"/>
      <c r="DZ12" s="82"/>
      <c r="EA12" s="82"/>
      <c r="EB12" s="82"/>
      <c r="EC12" s="82"/>
      <c r="ED12" s="82"/>
    </row>
    <row r="13" spans="1:217" ht="15" customHeight="1">
      <c r="A13" s="22"/>
      <c r="B13" s="23" t="s">
        <v>49</v>
      </c>
      <c r="C13" s="24" t="s">
        <v>85</v>
      </c>
      <c r="D13" s="23"/>
      <c r="E13" s="23">
        <v>1.33</v>
      </c>
      <c r="F13" s="25" t="s">
        <v>50</v>
      </c>
      <c r="G13" s="26">
        <v>13.327</v>
      </c>
      <c r="H13" s="27">
        <v>0.03</v>
      </c>
      <c r="I13" s="27">
        <v>-0.03</v>
      </c>
      <c r="J13" s="39" t="s">
        <v>51</v>
      </c>
      <c r="K13" s="40" t="s">
        <v>52</v>
      </c>
      <c r="L13" s="41">
        <f t="shared" si="0"/>
        <v>13.356999999999999</v>
      </c>
      <c r="M13" s="42">
        <f t="shared" si="1"/>
        <v>13.297000000000001</v>
      </c>
      <c r="N13" s="46"/>
      <c r="O13" s="44">
        <f t="shared" si="2"/>
        <v>13.339600000000001</v>
      </c>
      <c r="P13" s="44">
        <f t="shared" si="3"/>
        <v>13.311400000000001</v>
      </c>
      <c r="Q13" s="44">
        <f t="shared" si="4"/>
        <v>13.327203448275863</v>
      </c>
      <c r="R13" s="52">
        <f t="shared" si="5"/>
        <v>6.6046240705507908E-3</v>
      </c>
      <c r="S13" s="53">
        <f t="shared" si="6"/>
        <v>1.5140907178334</v>
      </c>
      <c r="T13" s="53">
        <f t="shared" si="7"/>
        <v>1.5038227462985636</v>
      </c>
      <c r="U13" s="53">
        <f t="shared" si="8"/>
        <v>1.524358689368172</v>
      </c>
      <c r="V13" s="53">
        <f t="shared" si="9"/>
        <v>1.5038227462985636</v>
      </c>
      <c r="W13" s="54">
        <f t="shared" si="10"/>
        <v>0.99999437790101142</v>
      </c>
      <c r="X13" s="55" t="str">
        <f t="shared" si="11"/>
        <v/>
      </c>
      <c r="Y13" s="55" t="str">
        <f t="shared" si="12"/>
        <v/>
      </c>
      <c r="Z13" s="55">
        <f t="shared" si="13"/>
        <v>-2.0344827586349368E-4</v>
      </c>
      <c r="AA13" s="55" t="str">
        <f t="shared" si="14"/>
        <v/>
      </c>
      <c r="AB13" s="61"/>
      <c r="AC13" s="62"/>
      <c r="AD13" s="63"/>
      <c r="AE13" s="64"/>
      <c r="AF13" s="64"/>
      <c r="AG13" s="73"/>
      <c r="AH13" s="76"/>
      <c r="AI13" s="75">
        <v>13.339600000000001</v>
      </c>
      <c r="AJ13" s="75">
        <v>13.329000000000001</v>
      </c>
      <c r="AK13" s="75">
        <v>13.3285</v>
      </c>
      <c r="AL13" s="75">
        <v>13.329000000000001</v>
      </c>
      <c r="AM13" s="75">
        <v>13.3294</v>
      </c>
      <c r="AN13" s="75">
        <v>13.325900000000001</v>
      </c>
      <c r="AO13" s="75">
        <v>13.3207</v>
      </c>
      <c r="AP13" s="75">
        <v>13.3254</v>
      </c>
      <c r="AQ13" s="75">
        <v>13.322100000000001</v>
      </c>
      <c r="AR13" s="75">
        <v>13.3202</v>
      </c>
      <c r="AS13" s="75">
        <v>13.3331</v>
      </c>
      <c r="AT13" s="75">
        <v>13.3348</v>
      </c>
      <c r="AU13" s="75">
        <v>13.319100000000001</v>
      </c>
      <c r="AV13" s="75">
        <v>13.3284</v>
      </c>
      <c r="AW13" s="75">
        <v>13.311400000000001</v>
      </c>
      <c r="AX13" s="75">
        <v>13.335699999999999</v>
      </c>
      <c r="AY13" s="75">
        <v>13.3215</v>
      </c>
      <c r="AZ13" s="75">
        <v>13.3308</v>
      </c>
      <c r="BA13" s="75">
        <v>13.3362</v>
      </c>
      <c r="BB13" s="75">
        <v>13.323</v>
      </c>
      <c r="BC13" s="75">
        <v>13.3165</v>
      </c>
      <c r="BD13" s="75">
        <v>13.3231</v>
      </c>
      <c r="BE13" s="75">
        <v>13.3344</v>
      </c>
      <c r="BF13" s="75">
        <v>13.3322</v>
      </c>
      <c r="BG13" s="75">
        <v>13.3314</v>
      </c>
      <c r="BH13" s="75">
        <v>13.322800000000001</v>
      </c>
      <c r="BI13" s="75">
        <v>13.323</v>
      </c>
      <c r="BJ13" s="75">
        <v>13.3279</v>
      </c>
      <c r="BK13" s="75">
        <v>13.3338</v>
      </c>
      <c r="BL13" s="75"/>
      <c r="BM13" s="75"/>
      <c r="BN13" s="80"/>
      <c r="BO13" s="81"/>
      <c r="BP13" s="82"/>
      <c r="BQ13" s="82"/>
      <c r="BR13" s="82"/>
      <c r="BS13" s="82"/>
      <c r="BT13" s="82"/>
      <c r="BU13" s="82"/>
      <c r="BV13" s="82"/>
      <c r="BW13" s="82"/>
      <c r="BX13" s="82"/>
      <c r="BY13" s="82"/>
      <c r="BZ13" s="82"/>
      <c r="CA13" s="82"/>
      <c r="CB13" s="82"/>
      <c r="CC13" s="82"/>
      <c r="CD13" s="82"/>
      <c r="CE13" s="82"/>
      <c r="CF13" s="82"/>
      <c r="CG13" s="82"/>
      <c r="CH13" s="82"/>
      <c r="CI13" s="82"/>
      <c r="CJ13" s="82"/>
      <c r="CK13" s="82"/>
      <c r="CL13" s="82"/>
      <c r="CM13" s="82"/>
      <c r="CN13" s="82"/>
      <c r="CO13" s="82"/>
      <c r="CP13" s="82"/>
      <c r="CQ13" s="82"/>
      <c r="CR13" s="82"/>
      <c r="CS13" s="82"/>
      <c r="CT13" s="82"/>
      <c r="CU13" s="82"/>
      <c r="CV13" s="82"/>
      <c r="CW13" s="82"/>
      <c r="CX13" s="82"/>
      <c r="CY13" s="82"/>
      <c r="CZ13" s="82"/>
      <c r="DA13" s="82"/>
      <c r="DB13" s="82"/>
      <c r="DC13" s="82"/>
      <c r="DD13" s="82"/>
      <c r="DE13" s="82"/>
      <c r="DF13" s="82"/>
      <c r="DG13" s="82"/>
      <c r="DH13" s="82"/>
      <c r="DI13" s="82"/>
      <c r="DJ13" s="82"/>
      <c r="DK13" s="82"/>
      <c r="DL13" s="82"/>
      <c r="DM13" s="82"/>
      <c r="DN13" s="82"/>
      <c r="DO13" s="82"/>
      <c r="DP13" s="82"/>
      <c r="DQ13" s="82"/>
      <c r="DR13" s="82"/>
      <c r="DS13" s="82"/>
      <c r="DT13" s="82"/>
      <c r="DU13" s="82"/>
      <c r="DV13" s="82"/>
      <c r="DW13" s="82"/>
      <c r="DX13" s="82"/>
      <c r="DY13" s="82"/>
      <c r="DZ13" s="82"/>
      <c r="EA13" s="82"/>
      <c r="EB13" s="82"/>
      <c r="EC13" s="82"/>
      <c r="ED13" s="82"/>
    </row>
    <row r="14" spans="1:217" ht="15" customHeight="1">
      <c r="A14" s="22"/>
      <c r="B14" s="23" t="s">
        <v>49</v>
      </c>
      <c r="C14" s="24" t="s">
        <v>86</v>
      </c>
      <c r="D14" s="23"/>
      <c r="E14" s="23">
        <v>1.33</v>
      </c>
      <c r="F14" s="25" t="s">
        <v>50</v>
      </c>
      <c r="G14" s="26">
        <v>13.327</v>
      </c>
      <c r="H14" s="27">
        <v>0.03</v>
      </c>
      <c r="I14" s="27">
        <v>-0.03</v>
      </c>
      <c r="J14" s="39" t="s">
        <v>51</v>
      </c>
      <c r="K14" s="40" t="s">
        <v>52</v>
      </c>
      <c r="L14" s="41">
        <f t="shared" si="0"/>
        <v>13.356999999999999</v>
      </c>
      <c r="M14" s="42">
        <f t="shared" si="1"/>
        <v>13.297000000000001</v>
      </c>
      <c r="N14" s="46"/>
      <c r="O14" s="44">
        <f t="shared" si="2"/>
        <v>13.3461</v>
      </c>
      <c r="P14" s="44">
        <f t="shared" si="3"/>
        <v>13.3141</v>
      </c>
      <c r="Q14" s="44">
        <f t="shared" si="4"/>
        <v>13.331913793103448</v>
      </c>
      <c r="R14" s="52">
        <f t="shared" si="5"/>
        <v>8.4746143670346389E-3</v>
      </c>
      <c r="S14" s="53">
        <f t="shared" si="6"/>
        <v>1.1799946955579419</v>
      </c>
      <c r="T14" s="53">
        <f t="shared" si="7"/>
        <v>0.98671970231998996</v>
      </c>
      <c r="U14" s="53">
        <f t="shared" si="8"/>
        <v>1.3732696887958435</v>
      </c>
      <c r="V14" s="53">
        <f t="shared" si="9"/>
        <v>0.98671970231998996</v>
      </c>
      <c r="W14" s="54">
        <f t="shared" si="10"/>
        <v>0.99844363968196692</v>
      </c>
      <c r="X14" s="55">
        <f t="shared" si="11"/>
        <v>3.872750442791606E-2</v>
      </c>
      <c r="Y14" s="55" t="str">
        <f t="shared" si="12"/>
        <v/>
      </c>
      <c r="Z14" s="55">
        <f t="shared" si="13"/>
        <v>-4.913793103447972E-3</v>
      </c>
      <c r="AA14" s="55">
        <f t="shared" si="14"/>
        <v>7.6271529303311755E-2</v>
      </c>
      <c r="AB14" s="61"/>
      <c r="AC14" s="62"/>
      <c r="AD14" s="63"/>
      <c r="AE14" s="64"/>
      <c r="AF14" s="64"/>
      <c r="AG14" s="73"/>
      <c r="AH14" s="76"/>
      <c r="AI14" s="75">
        <v>13.336399999999999</v>
      </c>
      <c r="AJ14" s="75">
        <v>13.3352</v>
      </c>
      <c r="AK14" s="75">
        <v>13.3345</v>
      </c>
      <c r="AL14" s="75">
        <v>13.319599999999999</v>
      </c>
      <c r="AM14" s="75">
        <v>13.3217</v>
      </c>
      <c r="AN14" s="75">
        <v>13.3383</v>
      </c>
      <c r="AO14" s="75">
        <v>13.3345</v>
      </c>
      <c r="AP14" s="75">
        <v>13.320600000000001</v>
      </c>
      <c r="AQ14" s="75">
        <v>13.335599999999999</v>
      </c>
      <c r="AR14" s="75">
        <v>13.332100000000001</v>
      </c>
      <c r="AS14" s="75">
        <v>13.3353</v>
      </c>
      <c r="AT14" s="75">
        <v>13.3141</v>
      </c>
      <c r="AU14" s="75">
        <v>13.330399999999999</v>
      </c>
      <c r="AV14" s="75">
        <v>13.338100000000001</v>
      </c>
      <c r="AW14" s="75">
        <v>13.3208</v>
      </c>
      <c r="AX14" s="75">
        <v>13.3367</v>
      </c>
      <c r="AY14" s="75">
        <v>13.329800000000001</v>
      </c>
      <c r="AZ14" s="75">
        <v>13.331899999999999</v>
      </c>
      <c r="BA14" s="75">
        <v>13.339499999999999</v>
      </c>
      <c r="BB14" s="75">
        <v>13.336399999999999</v>
      </c>
      <c r="BC14" s="75">
        <v>13.343999999999999</v>
      </c>
      <c r="BD14" s="75">
        <v>13.3392</v>
      </c>
      <c r="BE14" s="75">
        <v>13.336499999999999</v>
      </c>
      <c r="BF14" s="75">
        <v>13.327199999999999</v>
      </c>
      <c r="BG14" s="75">
        <v>13.335000000000001</v>
      </c>
      <c r="BH14" s="75">
        <v>13.3188</v>
      </c>
      <c r="BI14" s="75">
        <v>13.316700000000001</v>
      </c>
      <c r="BJ14" s="75">
        <v>13.3405</v>
      </c>
      <c r="BK14" s="75">
        <v>13.3461</v>
      </c>
      <c r="BL14" s="75"/>
      <c r="BM14" s="75"/>
      <c r="BN14" s="80"/>
      <c r="BO14" s="81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  <c r="CW14" s="82"/>
      <c r="CX14" s="82"/>
      <c r="CY14" s="82"/>
      <c r="CZ14" s="82"/>
      <c r="DA14" s="82"/>
      <c r="DB14" s="82"/>
      <c r="DC14" s="82"/>
      <c r="DD14" s="82"/>
      <c r="DE14" s="82"/>
      <c r="DF14" s="82"/>
      <c r="DG14" s="82"/>
      <c r="DH14" s="82"/>
      <c r="DI14" s="82"/>
      <c r="DJ14" s="82"/>
      <c r="DK14" s="82"/>
      <c r="DL14" s="82"/>
      <c r="DM14" s="82"/>
      <c r="DN14" s="82"/>
      <c r="DO14" s="82"/>
      <c r="DP14" s="82"/>
      <c r="DQ14" s="82"/>
      <c r="DR14" s="82"/>
      <c r="DS14" s="82"/>
      <c r="DT14" s="82"/>
      <c r="DU14" s="82"/>
      <c r="DV14" s="82"/>
      <c r="DW14" s="82"/>
      <c r="DX14" s="82"/>
      <c r="DY14" s="82"/>
      <c r="DZ14" s="82"/>
      <c r="EA14" s="82"/>
      <c r="EB14" s="82"/>
      <c r="EC14" s="82"/>
      <c r="ED14" s="82"/>
    </row>
    <row r="15" spans="1:217" ht="15" customHeight="1">
      <c r="A15" s="22"/>
      <c r="B15" s="23" t="s">
        <v>49</v>
      </c>
      <c r="C15" s="24" t="s">
        <v>87</v>
      </c>
      <c r="D15" s="23"/>
      <c r="E15" s="23">
        <v>1.33</v>
      </c>
      <c r="F15" s="25" t="s">
        <v>50</v>
      </c>
      <c r="G15" s="26">
        <v>20.228000000000002</v>
      </c>
      <c r="H15" s="27">
        <v>0.05</v>
      </c>
      <c r="I15" s="27">
        <v>0.01</v>
      </c>
      <c r="J15" s="39" t="s">
        <v>51</v>
      </c>
      <c r="K15" s="40" t="s">
        <v>52</v>
      </c>
      <c r="L15" s="41">
        <f t="shared" si="0"/>
        <v>20.278000000000002</v>
      </c>
      <c r="M15" s="42">
        <f t="shared" si="1"/>
        <v>20.238000000000003</v>
      </c>
      <c r="N15" s="46"/>
      <c r="O15" s="44">
        <f t="shared" si="2"/>
        <v>20.274799999999999</v>
      </c>
      <c r="P15" s="44">
        <f t="shared" si="3"/>
        <v>20.269300000000001</v>
      </c>
      <c r="Q15" s="44">
        <f t="shared" si="4"/>
        <v>20.271382758620689</v>
      </c>
      <c r="R15" s="52">
        <f t="shared" si="5"/>
        <v>1.1177365411261068E-3</v>
      </c>
      <c r="S15" s="53">
        <f t="shared" si="6"/>
        <v>8.9466521242341379</v>
      </c>
      <c r="T15" s="53">
        <f t="shared" si="7"/>
        <v>1.9734052214267783</v>
      </c>
      <c r="U15" s="53">
        <f t="shared" si="8"/>
        <v>9.9554642775518154</v>
      </c>
      <c r="V15" s="53">
        <f t="shared" si="9"/>
        <v>1.9734052214267783</v>
      </c>
      <c r="W15" s="54">
        <f t="shared" si="10"/>
        <v>0.9999999983924015</v>
      </c>
      <c r="X15" s="55" t="str">
        <f t="shared" si="11"/>
        <v/>
      </c>
      <c r="Y15" s="55" t="str">
        <f t="shared" si="12"/>
        <v/>
      </c>
      <c r="Z15" s="55">
        <f t="shared" si="13"/>
        <v>-1.3382758620686275E-2</v>
      </c>
      <c r="AA15" s="55" t="str">
        <f t="shared" si="14"/>
        <v/>
      </c>
      <c r="AB15" s="61"/>
      <c r="AC15" s="62"/>
      <c r="AD15" s="63"/>
      <c r="AE15" s="64"/>
      <c r="AF15" s="64"/>
      <c r="AG15" s="73"/>
      <c r="AH15" s="76"/>
      <c r="AI15" s="75">
        <v>20.273299999999999</v>
      </c>
      <c r="AJ15" s="75">
        <v>20.2712</v>
      </c>
      <c r="AK15" s="75">
        <v>20.270499999999998</v>
      </c>
      <c r="AL15" s="75">
        <v>20.270800000000001</v>
      </c>
      <c r="AM15" s="75">
        <v>20.2728</v>
      </c>
      <c r="AN15" s="75">
        <v>20.274799999999999</v>
      </c>
      <c r="AO15" s="75">
        <v>20.270800000000001</v>
      </c>
      <c r="AP15" s="75">
        <v>20.271899999999999</v>
      </c>
      <c r="AQ15" s="75">
        <v>20.270800000000001</v>
      </c>
      <c r="AR15" s="75">
        <v>20.270499999999998</v>
      </c>
      <c r="AS15" s="75">
        <v>20.271799999999999</v>
      </c>
      <c r="AT15" s="75">
        <v>20.2715</v>
      </c>
      <c r="AU15" s="75">
        <v>20.270399999999999</v>
      </c>
      <c r="AV15" s="75">
        <v>20.269600000000001</v>
      </c>
      <c r="AW15" s="75">
        <v>20.271899999999999</v>
      </c>
      <c r="AX15" s="75">
        <v>20.2697</v>
      </c>
      <c r="AY15" s="75">
        <v>20.271599999999999</v>
      </c>
      <c r="AZ15" s="75">
        <v>20.2715</v>
      </c>
      <c r="BA15" s="75">
        <v>20.269300000000001</v>
      </c>
      <c r="BB15" s="75">
        <v>20.2714</v>
      </c>
      <c r="BC15" s="75">
        <v>20.2715</v>
      </c>
      <c r="BD15" s="75">
        <v>20.270600000000002</v>
      </c>
      <c r="BE15" s="75">
        <v>20.271799999999999</v>
      </c>
      <c r="BF15" s="75">
        <v>20.271699999999999</v>
      </c>
      <c r="BG15" s="75">
        <v>20.272300000000001</v>
      </c>
      <c r="BH15" s="75">
        <v>20.270700000000001</v>
      </c>
      <c r="BI15" s="75">
        <v>20.272099999999998</v>
      </c>
      <c r="BJ15" s="75">
        <v>20.271799999999999</v>
      </c>
      <c r="BK15" s="75">
        <v>20.2715</v>
      </c>
      <c r="BL15" s="75"/>
      <c r="BM15" s="75"/>
      <c r="BN15" s="80"/>
      <c r="BO15" s="81"/>
      <c r="BP15" s="82"/>
      <c r="BQ15" s="82"/>
      <c r="BR15" s="82"/>
      <c r="BS15" s="82"/>
      <c r="BT15" s="82"/>
      <c r="BU15" s="82"/>
      <c r="BV15" s="82"/>
      <c r="BW15" s="82"/>
      <c r="BX15" s="82"/>
      <c r="BY15" s="82"/>
      <c r="BZ15" s="82"/>
      <c r="CA15" s="82"/>
      <c r="CB15" s="82"/>
      <c r="CC15" s="82"/>
      <c r="CD15" s="82"/>
      <c r="CE15" s="82"/>
      <c r="CF15" s="82"/>
      <c r="CG15" s="82"/>
      <c r="CH15" s="82"/>
      <c r="CI15" s="82"/>
      <c r="CJ15" s="82"/>
      <c r="CK15" s="82"/>
      <c r="CL15" s="82"/>
      <c r="CM15" s="82"/>
      <c r="CN15" s="82"/>
      <c r="CO15" s="82"/>
      <c r="CP15" s="82"/>
      <c r="CQ15" s="82"/>
      <c r="CR15" s="82"/>
      <c r="CS15" s="82"/>
      <c r="CT15" s="82"/>
      <c r="CU15" s="82"/>
      <c r="CV15" s="82"/>
      <c r="CW15" s="82"/>
      <c r="CX15" s="82"/>
      <c r="CY15" s="82"/>
      <c r="CZ15" s="82"/>
      <c r="DA15" s="82"/>
      <c r="DB15" s="82"/>
      <c r="DC15" s="82"/>
      <c r="DD15" s="82"/>
      <c r="DE15" s="82"/>
      <c r="DF15" s="82"/>
      <c r="DG15" s="82"/>
      <c r="DH15" s="82"/>
      <c r="DI15" s="82"/>
      <c r="DJ15" s="82"/>
      <c r="DK15" s="82"/>
      <c r="DL15" s="82"/>
      <c r="DM15" s="82"/>
      <c r="DN15" s="82"/>
      <c r="DO15" s="82"/>
      <c r="DP15" s="82"/>
      <c r="DQ15" s="82"/>
      <c r="DR15" s="82"/>
      <c r="DS15" s="82"/>
      <c r="DT15" s="82"/>
      <c r="DU15" s="82"/>
      <c r="DV15" s="82"/>
      <c r="DW15" s="82"/>
      <c r="DX15" s="82"/>
      <c r="DY15" s="82"/>
      <c r="DZ15" s="82"/>
      <c r="EA15" s="82"/>
      <c r="EB15" s="82"/>
      <c r="EC15" s="82"/>
      <c r="ED15" s="82"/>
    </row>
    <row r="16" spans="1:217" ht="15" customHeight="1">
      <c r="A16" s="22"/>
      <c r="B16" s="23" t="s">
        <v>49</v>
      </c>
      <c r="C16" s="24" t="s">
        <v>88</v>
      </c>
      <c r="D16" s="23"/>
      <c r="E16" s="23">
        <v>1.33</v>
      </c>
      <c r="F16" s="25" t="s">
        <v>53</v>
      </c>
      <c r="G16" s="26"/>
      <c r="H16" s="27">
        <v>0.03</v>
      </c>
      <c r="I16" s="27"/>
      <c r="J16" s="39" t="s">
        <v>51</v>
      </c>
      <c r="K16" s="40" t="s">
        <v>52</v>
      </c>
      <c r="L16" s="41">
        <f t="shared" si="0"/>
        <v>0.03</v>
      </c>
      <c r="M16" s="42" t="str">
        <f t="shared" si="1"/>
        <v/>
      </c>
      <c r="N16" s="45"/>
      <c r="O16" s="44">
        <f t="shared" si="2"/>
        <v>3.9E-2</v>
      </c>
      <c r="P16" s="44">
        <f t="shared" si="3"/>
        <v>4.7999999999999996E-3</v>
      </c>
      <c r="Q16" s="44">
        <f t="shared" si="4"/>
        <v>2.2820689655172414E-2</v>
      </c>
      <c r="R16" s="52">
        <f t="shared" si="5"/>
        <v>1.0968408509062501E-2</v>
      </c>
      <c r="S16" s="53">
        <f t="shared" si="6"/>
        <v>0.21818146600745145</v>
      </c>
      <c r="T16" s="53">
        <f t="shared" si="7"/>
        <v>0.21818146600745145</v>
      </c>
      <c r="U16" s="53" t="str">
        <f t="shared" si="8"/>
        <v/>
      </c>
      <c r="V16" s="53">
        <f t="shared" si="9"/>
        <v>0.21818146600745145</v>
      </c>
      <c r="W16" s="54">
        <f t="shared" si="10"/>
        <v>0.74361943352760795</v>
      </c>
      <c r="X16" s="55">
        <f t="shared" si="11"/>
        <v>6.6584639606331791E-2</v>
      </c>
      <c r="Y16" s="55" t="str">
        <f t="shared" si="12"/>
        <v/>
      </c>
      <c r="Z16" s="55" t="str">
        <f t="shared" si="13"/>
        <v/>
      </c>
      <c r="AA16" s="55">
        <f t="shared" si="14"/>
        <v>9.8715676581562509E-2</v>
      </c>
      <c r="AB16" s="61"/>
      <c r="AC16" s="62"/>
      <c r="AD16" s="63"/>
      <c r="AE16" s="64"/>
      <c r="AF16" s="64"/>
      <c r="AG16" s="73"/>
      <c r="AH16" s="74"/>
      <c r="AI16" s="75">
        <v>9.4999999999999998E-3</v>
      </c>
      <c r="AJ16" s="75">
        <v>2.6100000000000002E-2</v>
      </c>
      <c r="AK16" s="75">
        <v>2.7799999999999998E-2</v>
      </c>
      <c r="AL16" s="75">
        <v>8.8000000000000005E-3</v>
      </c>
      <c r="AM16" s="75">
        <v>2.6599999999999999E-2</v>
      </c>
      <c r="AN16" s="75">
        <v>3.3599999999999998E-2</v>
      </c>
      <c r="AO16" s="75">
        <v>3.73E-2</v>
      </c>
      <c r="AP16" s="75">
        <v>1.06E-2</v>
      </c>
      <c r="AQ16" s="75">
        <v>7.0000000000000001E-3</v>
      </c>
      <c r="AR16" s="75">
        <v>3.9E-2</v>
      </c>
      <c r="AS16" s="75">
        <v>3.2199999999999999E-2</v>
      </c>
      <c r="AT16" s="75">
        <v>7.1999999999999998E-3</v>
      </c>
      <c r="AU16" s="75">
        <v>1.5800000000000002E-2</v>
      </c>
      <c r="AV16" s="75">
        <v>2.8400000000000002E-2</v>
      </c>
      <c r="AW16" s="75">
        <v>8.0000000000000002E-3</v>
      </c>
      <c r="AX16" s="75">
        <v>3.0300000000000001E-2</v>
      </c>
      <c r="AY16" s="75">
        <v>2.75E-2</v>
      </c>
      <c r="AZ16" s="75">
        <v>4.7999999999999996E-3</v>
      </c>
      <c r="BA16" s="75">
        <v>2.52E-2</v>
      </c>
      <c r="BB16" s="75">
        <v>1.0800000000000001E-2</v>
      </c>
      <c r="BC16" s="75">
        <v>1.6199999999999999E-2</v>
      </c>
      <c r="BD16" s="75">
        <v>3.1600000000000003E-2</v>
      </c>
      <c r="BE16" s="75">
        <v>3.6299999999999999E-2</v>
      </c>
      <c r="BF16" s="75">
        <v>2.6800000000000001E-2</v>
      </c>
      <c r="BG16" s="75">
        <v>3.39E-2</v>
      </c>
      <c r="BH16" s="75">
        <v>0.01</v>
      </c>
      <c r="BI16" s="75">
        <v>2.9899999999999999E-2</v>
      </c>
      <c r="BJ16" s="75">
        <v>3.1899999999999998E-2</v>
      </c>
      <c r="BK16" s="75">
        <v>2.87E-2</v>
      </c>
      <c r="BL16" s="75"/>
      <c r="BM16" s="75"/>
      <c r="BN16" s="80"/>
      <c r="BO16" s="81"/>
      <c r="BP16" s="82"/>
      <c r="BQ16" s="82"/>
      <c r="BR16" s="82"/>
      <c r="BS16" s="82"/>
      <c r="BT16" s="82"/>
      <c r="BU16" s="82"/>
      <c r="BV16" s="82"/>
      <c r="BW16" s="82"/>
      <c r="BX16" s="82"/>
      <c r="BY16" s="82"/>
      <c r="BZ16" s="82"/>
      <c r="CA16" s="82"/>
      <c r="CB16" s="82"/>
      <c r="CC16" s="82"/>
      <c r="CD16" s="82"/>
      <c r="CE16" s="82"/>
      <c r="CF16" s="82"/>
      <c r="CG16" s="82"/>
      <c r="CH16" s="82"/>
      <c r="CI16" s="82"/>
      <c r="CJ16" s="82"/>
      <c r="CK16" s="82"/>
      <c r="CL16" s="82"/>
      <c r="CM16" s="82"/>
      <c r="CN16" s="82"/>
      <c r="CO16" s="82"/>
      <c r="CP16" s="82"/>
      <c r="CQ16" s="82"/>
      <c r="CR16" s="82"/>
      <c r="CS16" s="82"/>
      <c r="CT16" s="82"/>
      <c r="CU16" s="82"/>
      <c r="CV16" s="82"/>
      <c r="CW16" s="82"/>
      <c r="CX16" s="82"/>
      <c r="CY16" s="82"/>
      <c r="CZ16" s="82"/>
      <c r="DA16" s="82"/>
      <c r="DB16" s="82"/>
      <c r="DC16" s="82"/>
      <c r="DD16" s="82"/>
      <c r="DE16" s="82"/>
      <c r="DF16" s="82"/>
      <c r="DG16" s="82"/>
      <c r="DH16" s="82"/>
      <c r="DI16" s="82"/>
      <c r="DJ16" s="82"/>
      <c r="DK16" s="82"/>
      <c r="DL16" s="82"/>
      <c r="DM16" s="82"/>
      <c r="DN16" s="82"/>
      <c r="DO16" s="82"/>
      <c r="DP16" s="82"/>
      <c r="DQ16" s="82"/>
      <c r="DR16" s="82"/>
      <c r="DS16" s="82"/>
      <c r="DT16" s="82"/>
      <c r="DU16" s="82"/>
      <c r="DV16" s="82"/>
      <c r="DW16" s="82"/>
      <c r="DX16" s="82"/>
      <c r="DY16" s="82"/>
      <c r="DZ16" s="82"/>
      <c r="EA16" s="82"/>
      <c r="EB16" s="82"/>
      <c r="EC16" s="82"/>
      <c r="ED16" s="82"/>
    </row>
    <row r="17" spans="1:134" ht="15" customHeight="1">
      <c r="A17" s="22"/>
      <c r="B17" s="23" t="s">
        <v>49</v>
      </c>
      <c r="C17" s="24" t="s">
        <v>89</v>
      </c>
      <c r="D17" s="23"/>
      <c r="E17" s="23">
        <v>1.33</v>
      </c>
      <c r="F17" s="25" t="s">
        <v>53</v>
      </c>
      <c r="G17" s="26"/>
      <c r="H17" s="27">
        <v>0.05</v>
      </c>
      <c r="I17" s="27"/>
      <c r="J17" s="39" t="s">
        <v>51</v>
      </c>
      <c r="K17" s="40" t="s">
        <v>52</v>
      </c>
      <c r="L17" s="41">
        <f t="shared" si="0"/>
        <v>0.05</v>
      </c>
      <c r="M17" s="42" t="str">
        <f t="shared" si="1"/>
        <v/>
      </c>
      <c r="N17" s="45"/>
      <c r="O17" s="44">
        <f t="shared" si="2"/>
        <v>6.1199999999999997E-2</v>
      </c>
      <c r="P17" s="44">
        <f t="shared" si="3"/>
        <v>3.7999999999999999E-2</v>
      </c>
      <c r="Q17" s="44">
        <f t="shared" si="4"/>
        <v>4.8265517241379313E-2</v>
      </c>
      <c r="R17" s="52">
        <f t="shared" si="5"/>
        <v>5.6227392829772014E-3</v>
      </c>
      <c r="S17" s="53">
        <f t="shared" si="6"/>
        <v>0.10282548957775928</v>
      </c>
      <c r="T17" s="53">
        <f t="shared" si="7"/>
        <v>0.10282548957775928</v>
      </c>
      <c r="U17" s="53" t="str">
        <f t="shared" si="8"/>
        <v/>
      </c>
      <c r="V17" s="53">
        <f t="shared" si="9"/>
        <v>0.10282548957775928</v>
      </c>
      <c r="W17" s="54">
        <f t="shared" si="10"/>
        <v>0.62114009848773977</v>
      </c>
      <c r="X17" s="55">
        <f t="shared" si="11"/>
        <v>7.0700246980458348E-2</v>
      </c>
      <c r="Y17" s="55" t="str">
        <f t="shared" si="12"/>
        <v/>
      </c>
      <c r="Z17" s="55" t="str">
        <f t="shared" si="13"/>
        <v/>
      </c>
      <c r="AA17" s="55">
        <f t="shared" si="14"/>
        <v>5.060465354679481E-2</v>
      </c>
      <c r="AB17" s="61"/>
      <c r="AC17" s="62"/>
      <c r="AD17" s="63"/>
      <c r="AE17" s="64"/>
      <c r="AF17" s="64"/>
      <c r="AG17" s="73"/>
      <c r="AH17" s="74"/>
      <c r="AI17" s="75">
        <v>0.04</v>
      </c>
      <c r="AJ17" s="75">
        <v>5.04E-2</v>
      </c>
      <c r="AK17" s="75">
        <v>5.0999999999999997E-2</v>
      </c>
      <c r="AL17" s="75">
        <v>5.0700000000000002E-2</v>
      </c>
      <c r="AM17" s="75">
        <v>5.5800000000000002E-2</v>
      </c>
      <c r="AN17" s="75">
        <v>4.5900000000000003E-2</v>
      </c>
      <c r="AO17" s="75">
        <v>5.6899999999999999E-2</v>
      </c>
      <c r="AP17" s="75">
        <v>5.3900000000000003E-2</v>
      </c>
      <c r="AQ17" s="75">
        <v>5.2600000000000001E-2</v>
      </c>
      <c r="AR17" s="75">
        <v>5.7200000000000001E-2</v>
      </c>
      <c r="AS17" s="75">
        <v>3.7999999999999999E-2</v>
      </c>
      <c r="AT17" s="75">
        <v>6.1199999999999997E-2</v>
      </c>
      <c r="AU17" s="75">
        <v>5.2499999999999998E-2</v>
      </c>
      <c r="AV17" s="75">
        <v>5.0799999999999998E-2</v>
      </c>
      <c r="AW17" s="75">
        <v>5.2299999999999999E-2</v>
      </c>
      <c r="AX17" s="75">
        <v>4.7300000000000002E-2</v>
      </c>
      <c r="AY17" s="75">
        <v>4.8500000000000001E-2</v>
      </c>
      <c r="AZ17" s="75">
        <v>4.6100000000000002E-2</v>
      </c>
      <c r="BA17" s="75">
        <v>4.7899999999999998E-2</v>
      </c>
      <c r="BB17" s="75">
        <v>4.5999999999999999E-2</v>
      </c>
      <c r="BC17" s="75">
        <v>4.3299999999999998E-2</v>
      </c>
      <c r="BD17" s="75">
        <v>4.19E-2</v>
      </c>
      <c r="BE17" s="75">
        <v>4.6899999999999997E-2</v>
      </c>
      <c r="BF17" s="75">
        <v>4.41E-2</v>
      </c>
      <c r="BG17" s="75">
        <v>4.53E-2</v>
      </c>
      <c r="BH17" s="75">
        <v>4.0099999999999997E-2</v>
      </c>
      <c r="BI17" s="75">
        <v>4.3700000000000003E-2</v>
      </c>
      <c r="BJ17" s="75">
        <v>4.3900000000000002E-2</v>
      </c>
      <c r="BK17" s="75">
        <v>4.5499999999999999E-2</v>
      </c>
      <c r="BL17" s="75"/>
      <c r="BM17" s="75"/>
      <c r="BN17" s="80"/>
      <c r="BO17" s="81"/>
      <c r="BP17" s="82"/>
      <c r="BQ17" s="82"/>
      <c r="BR17" s="82"/>
      <c r="BS17" s="82"/>
      <c r="BT17" s="82"/>
      <c r="BU17" s="82"/>
      <c r="BV17" s="82"/>
      <c r="BW17" s="82"/>
      <c r="BX17" s="82"/>
      <c r="BY17" s="82"/>
      <c r="BZ17" s="82"/>
      <c r="CA17" s="82"/>
      <c r="CB17" s="82"/>
      <c r="CC17" s="82"/>
      <c r="CD17" s="82"/>
      <c r="CE17" s="82"/>
      <c r="CF17" s="82"/>
      <c r="CG17" s="82"/>
      <c r="CH17" s="82"/>
      <c r="CI17" s="82"/>
      <c r="CJ17" s="82"/>
      <c r="CK17" s="82"/>
      <c r="CL17" s="82"/>
      <c r="CM17" s="82"/>
      <c r="CN17" s="82"/>
      <c r="CO17" s="82"/>
      <c r="CP17" s="82"/>
      <c r="CQ17" s="82"/>
      <c r="CR17" s="82"/>
      <c r="CS17" s="82"/>
      <c r="CT17" s="82"/>
      <c r="CU17" s="82"/>
      <c r="CV17" s="82"/>
      <c r="CW17" s="82"/>
      <c r="CX17" s="82"/>
      <c r="CY17" s="82"/>
      <c r="CZ17" s="82"/>
      <c r="DA17" s="82"/>
      <c r="DB17" s="82"/>
      <c r="DC17" s="82"/>
      <c r="DD17" s="82"/>
      <c r="DE17" s="82"/>
      <c r="DF17" s="82"/>
      <c r="DG17" s="82"/>
      <c r="DH17" s="82"/>
      <c r="DI17" s="82"/>
      <c r="DJ17" s="82"/>
      <c r="DK17" s="82"/>
      <c r="DL17" s="82"/>
      <c r="DM17" s="82"/>
      <c r="DN17" s="82"/>
      <c r="DO17" s="82"/>
      <c r="DP17" s="82"/>
      <c r="DQ17" s="82"/>
      <c r="DR17" s="82"/>
      <c r="DS17" s="82"/>
      <c r="DT17" s="82"/>
      <c r="DU17" s="82"/>
      <c r="DV17" s="82"/>
      <c r="DW17" s="82"/>
      <c r="DX17" s="82"/>
      <c r="DY17" s="82"/>
      <c r="DZ17" s="82"/>
      <c r="EA17" s="82"/>
      <c r="EB17" s="82"/>
      <c r="EC17" s="82"/>
      <c r="ED17" s="82"/>
    </row>
    <row r="18" spans="1:134" ht="15" customHeight="1">
      <c r="A18" s="22"/>
      <c r="B18" s="23"/>
      <c r="C18" s="24" t="s">
        <v>90</v>
      </c>
      <c r="D18" s="23" t="s">
        <v>54</v>
      </c>
      <c r="E18" s="23"/>
      <c r="F18" s="25" t="s">
        <v>50</v>
      </c>
      <c r="G18" s="26">
        <v>0</v>
      </c>
      <c r="H18" s="27">
        <v>0.15</v>
      </c>
      <c r="I18" s="27">
        <v>-0.15</v>
      </c>
      <c r="J18" s="39" t="s">
        <v>51</v>
      </c>
      <c r="K18" s="40" t="s">
        <v>52</v>
      </c>
      <c r="L18" s="41">
        <f t="shared" si="0"/>
        <v>0.15</v>
      </c>
      <c r="M18" s="42">
        <f t="shared" si="1"/>
        <v>-0.15</v>
      </c>
      <c r="N18" s="45"/>
      <c r="O18" s="44">
        <f t="shared" si="2"/>
        <v>-2.1299999999999999E-2</v>
      </c>
      <c r="P18" s="44">
        <f t="shared" si="3"/>
        <v>-3.27E-2</v>
      </c>
      <c r="Q18" s="44">
        <f t="shared" si="4"/>
        <v>-2.6475862068965513E-2</v>
      </c>
      <c r="R18" s="52">
        <f t="shared" si="5"/>
        <v>3.286297870641261E-3</v>
      </c>
      <c r="S18" s="53">
        <f t="shared" si="6"/>
        <v>15.21468898077806</v>
      </c>
      <c r="T18" s="53">
        <f t="shared" si="7"/>
        <v>17.900169026626656</v>
      </c>
      <c r="U18" s="53">
        <f t="shared" si="8"/>
        <v>12.529208934929464</v>
      </c>
      <c r="V18" s="53">
        <f t="shared" si="9"/>
        <v>12.529208934929464</v>
      </c>
      <c r="W18" s="54">
        <f t="shared" si="10"/>
        <v>1</v>
      </c>
      <c r="X18" s="55" t="str">
        <f t="shared" si="11"/>
        <v/>
      </c>
      <c r="Y18" s="55" t="str">
        <f t="shared" si="12"/>
        <v/>
      </c>
      <c r="Z18" s="55">
        <f t="shared" si="13"/>
        <v>2.6475862068965513E-2</v>
      </c>
      <c r="AA18" s="55" t="str">
        <f t="shared" si="14"/>
        <v/>
      </c>
      <c r="AB18" s="61"/>
      <c r="AC18" s="62"/>
      <c r="AD18" s="63"/>
      <c r="AE18" s="64"/>
      <c r="AF18" s="64"/>
      <c r="AG18" s="73"/>
      <c r="AH18" s="74"/>
      <c r="AI18" s="75">
        <v>-2.1899999999999999E-2</v>
      </c>
      <c r="AJ18" s="75">
        <v>-2.7799999999999998E-2</v>
      </c>
      <c r="AK18" s="75">
        <v>-2.8199999999999999E-2</v>
      </c>
      <c r="AL18" s="75">
        <v>-2.8500000000000001E-2</v>
      </c>
      <c r="AM18" s="75">
        <v>-3.1300000000000001E-2</v>
      </c>
      <c r="AN18" s="75">
        <v>-2.5000000000000001E-2</v>
      </c>
      <c r="AO18" s="75">
        <v>-3.1899999999999998E-2</v>
      </c>
      <c r="AP18" s="75">
        <v>-2.8899999999999999E-2</v>
      </c>
      <c r="AQ18" s="75">
        <v>-2.9399999999999999E-2</v>
      </c>
      <c r="AR18" s="75">
        <v>-3.27E-2</v>
      </c>
      <c r="AS18" s="75">
        <v>-2.1700000000000001E-2</v>
      </c>
      <c r="AT18" s="75">
        <v>-3.27E-2</v>
      </c>
      <c r="AU18" s="75">
        <v>-2.9899999999999999E-2</v>
      </c>
      <c r="AV18" s="75">
        <v>-2.8000000000000001E-2</v>
      </c>
      <c r="AW18" s="75">
        <v>-2.75E-2</v>
      </c>
      <c r="AX18" s="75">
        <v>-2.6200000000000001E-2</v>
      </c>
      <c r="AY18" s="75">
        <v>-2.5399999999999999E-2</v>
      </c>
      <c r="AZ18" s="75">
        <v>-2.5600000000000001E-2</v>
      </c>
      <c r="BA18" s="75">
        <v>-2.5999999999999999E-2</v>
      </c>
      <c r="BB18" s="75">
        <v>-2.52E-2</v>
      </c>
      <c r="BC18" s="75">
        <v>-2.4500000000000001E-2</v>
      </c>
      <c r="BD18" s="75">
        <v>-2.1299999999999999E-2</v>
      </c>
      <c r="BE18" s="75">
        <v>-2.6100000000000002E-2</v>
      </c>
      <c r="BF18" s="75">
        <v>-2.41E-2</v>
      </c>
      <c r="BG18" s="75">
        <v>-2.3599999999999999E-2</v>
      </c>
      <c r="BH18" s="75">
        <v>-2.1600000000000001E-2</v>
      </c>
      <c r="BI18" s="75">
        <v>-2.4500000000000001E-2</v>
      </c>
      <c r="BJ18" s="75">
        <v>-2.35E-2</v>
      </c>
      <c r="BK18" s="75">
        <v>-2.4799999999999999E-2</v>
      </c>
      <c r="BL18" s="75"/>
      <c r="BM18" s="75"/>
      <c r="BN18" s="80"/>
      <c r="BO18" s="81"/>
      <c r="BP18" s="82"/>
      <c r="BQ18" s="82"/>
      <c r="BR18" s="82"/>
      <c r="BS18" s="82"/>
      <c r="BT18" s="82"/>
      <c r="BU18" s="82"/>
      <c r="BV18" s="82"/>
      <c r="BW18" s="82"/>
      <c r="BX18" s="82"/>
      <c r="BY18" s="82"/>
      <c r="BZ18" s="82"/>
      <c r="CA18" s="82"/>
      <c r="CB18" s="82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82"/>
      <c r="CP18" s="82"/>
      <c r="CQ18" s="82"/>
      <c r="CR18" s="82"/>
      <c r="CS18" s="82"/>
      <c r="CT18" s="82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2"/>
      <c r="DG18" s="82"/>
      <c r="DH18" s="82"/>
      <c r="DI18" s="82"/>
      <c r="DJ18" s="82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2"/>
      <c r="DZ18" s="82"/>
      <c r="EA18" s="82"/>
      <c r="EB18" s="82"/>
      <c r="EC18" s="82"/>
      <c r="ED18" s="82"/>
    </row>
    <row r="19" spans="1:134" ht="15" customHeight="1">
      <c r="A19" s="22"/>
      <c r="B19" s="23"/>
      <c r="C19" s="24" t="s">
        <v>91</v>
      </c>
      <c r="D19" s="23" t="s">
        <v>54</v>
      </c>
      <c r="E19" s="23"/>
      <c r="F19" s="25" t="s">
        <v>50</v>
      </c>
      <c r="G19" s="26">
        <v>0</v>
      </c>
      <c r="H19" s="27">
        <v>0.15</v>
      </c>
      <c r="I19" s="27">
        <v>-0.15</v>
      </c>
      <c r="J19" s="39" t="s">
        <v>51</v>
      </c>
      <c r="K19" s="40" t="s">
        <v>52</v>
      </c>
      <c r="L19" s="41">
        <f t="shared" si="0"/>
        <v>0.15</v>
      </c>
      <c r="M19" s="42">
        <f t="shared" si="1"/>
        <v>-0.15</v>
      </c>
      <c r="N19" s="45"/>
      <c r="O19" s="44">
        <f t="shared" si="2"/>
        <v>8.9999999999999998E-4</v>
      </c>
      <c r="P19" s="44">
        <f t="shared" si="3"/>
        <v>-5.4999999999999997E-3</v>
      </c>
      <c r="Q19" s="44">
        <f t="shared" si="4"/>
        <v>-2.1206896551724135E-3</v>
      </c>
      <c r="R19" s="52">
        <f t="shared" si="5"/>
        <v>1.8739529095975606E-3</v>
      </c>
      <c r="S19" s="53">
        <f t="shared" si="6"/>
        <v>26.681566940088004</v>
      </c>
      <c r="T19" s="53">
        <f t="shared" si="7"/>
        <v>27.058789093378905</v>
      </c>
      <c r="U19" s="53">
        <f t="shared" si="8"/>
        <v>26.304344786797103</v>
      </c>
      <c r="V19" s="53">
        <f t="shared" si="9"/>
        <v>26.304344786797103</v>
      </c>
      <c r="W19" s="54">
        <f t="shared" si="10"/>
        <v>1</v>
      </c>
      <c r="X19" s="55" t="str">
        <f t="shared" si="11"/>
        <v/>
      </c>
      <c r="Y19" s="55" t="str">
        <f t="shared" si="12"/>
        <v/>
      </c>
      <c r="Z19" s="55">
        <f t="shared" si="13"/>
        <v>2.1206896551724135E-3</v>
      </c>
      <c r="AA19" s="55" t="str">
        <f t="shared" si="14"/>
        <v/>
      </c>
      <c r="AB19" s="61"/>
      <c r="AC19" s="62"/>
      <c r="AD19" s="63"/>
      <c r="AE19" s="64"/>
      <c r="AF19" s="64"/>
      <c r="AG19" s="73"/>
      <c r="AH19" s="74"/>
      <c r="AI19" s="75">
        <v>-3.0000000000000001E-3</v>
      </c>
      <c r="AJ19" s="75">
        <v>-3.3999999999999998E-3</v>
      </c>
      <c r="AK19" s="75">
        <v>-5.9999999999999995E-4</v>
      </c>
      <c r="AL19" s="75">
        <v>-5.4999999999999997E-3</v>
      </c>
      <c r="AM19" s="75">
        <v>-3.2000000000000002E-3</v>
      </c>
      <c r="AN19" s="75">
        <v>-1.1000000000000001E-3</v>
      </c>
      <c r="AO19" s="75">
        <v>-5.4000000000000003E-3</v>
      </c>
      <c r="AP19" s="75">
        <v>8.9999999999999998E-4</v>
      </c>
      <c r="AQ19" s="75">
        <v>-5.3E-3</v>
      </c>
      <c r="AR19" s="75">
        <v>-3.3E-3</v>
      </c>
      <c r="AS19" s="75">
        <v>-1E-3</v>
      </c>
      <c r="AT19" s="75">
        <v>5.9999999999999995E-4</v>
      </c>
      <c r="AU19" s="75">
        <v>-1.6000000000000001E-3</v>
      </c>
      <c r="AV19" s="75">
        <v>2.0000000000000001E-4</v>
      </c>
      <c r="AW19" s="75">
        <v>-8.0000000000000004E-4</v>
      </c>
      <c r="AX19" s="75">
        <v>-4.0000000000000002E-4</v>
      </c>
      <c r="AY19" s="75">
        <v>-2.0999999999999999E-3</v>
      </c>
      <c r="AZ19" s="75">
        <v>-3.3999999999999998E-3</v>
      </c>
      <c r="BA19" s="75">
        <v>-3.8999999999999998E-3</v>
      </c>
      <c r="BB19" s="75">
        <v>-2.2000000000000001E-3</v>
      </c>
      <c r="BC19" s="75">
        <v>-2.8E-3</v>
      </c>
      <c r="BD19" s="75">
        <v>8.0000000000000004E-4</v>
      </c>
      <c r="BE19" s="75">
        <v>-2.7000000000000001E-3</v>
      </c>
      <c r="BF19" s="75">
        <v>-1E-3</v>
      </c>
      <c r="BG19" s="75">
        <v>6.9999999999999999E-4</v>
      </c>
      <c r="BH19" s="75">
        <v>-2.8999999999999998E-3</v>
      </c>
      <c r="BI19" s="75">
        <v>-3.8999999999999998E-3</v>
      </c>
      <c r="BJ19" s="75">
        <v>-1.6000000000000001E-3</v>
      </c>
      <c r="BK19" s="75">
        <v>-3.5999999999999999E-3</v>
      </c>
      <c r="BL19" s="75"/>
      <c r="BM19" s="75"/>
      <c r="BN19" s="80"/>
      <c r="BO19" s="81"/>
      <c r="BP19" s="82"/>
      <c r="BQ19" s="82"/>
      <c r="BR19" s="82"/>
      <c r="BS19" s="82"/>
      <c r="BT19" s="82"/>
      <c r="BU19" s="82"/>
      <c r="BV19" s="82"/>
      <c r="BW19" s="82"/>
      <c r="BX19" s="82"/>
      <c r="BY19" s="82"/>
      <c r="BZ19" s="82"/>
      <c r="CA19" s="82"/>
      <c r="CB19" s="82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82"/>
      <c r="CP19" s="82"/>
      <c r="CQ19" s="82"/>
      <c r="CR19" s="82"/>
      <c r="CS19" s="82"/>
      <c r="CT19" s="82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2"/>
      <c r="DG19" s="82"/>
      <c r="DH19" s="82"/>
      <c r="DI19" s="82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2"/>
      <c r="DZ19" s="82"/>
      <c r="EA19" s="82"/>
      <c r="EB19" s="82"/>
      <c r="EC19" s="82"/>
      <c r="ED19" s="82"/>
    </row>
    <row r="20" spans="1:134" ht="15" customHeight="1">
      <c r="A20" s="22"/>
      <c r="B20" s="23"/>
      <c r="C20" s="24" t="s">
        <v>92</v>
      </c>
      <c r="D20" s="23" t="s">
        <v>54</v>
      </c>
      <c r="E20" s="23"/>
      <c r="F20" s="25" t="s">
        <v>50</v>
      </c>
      <c r="G20" s="26">
        <v>0</v>
      </c>
      <c r="H20" s="27">
        <v>0.15</v>
      </c>
      <c r="I20" s="27">
        <v>-0.15</v>
      </c>
      <c r="J20" s="39" t="s">
        <v>51</v>
      </c>
      <c r="K20" s="40" t="s">
        <v>52</v>
      </c>
      <c r="L20" s="41">
        <f t="shared" si="0"/>
        <v>0.15</v>
      </c>
      <c r="M20" s="42">
        <f t="shared" si="1"/>
        <v>-0.15</v>
      </c>
      <c r="N20" s="45"/>
      <c r="O20" s="44">
        <f t="shared" si="2"/>
        <v>2.8500000000000001E-2</v>
      </c>
      <c r="P20" s="44">
        <f t="shared" si="3"/>
        <v>1.41E-2</v>
      </c>
      <c r="Q20" s="44">
        <f t="shared" si="4"/>
        <v>2.1213793103448276E-2</v>
      </c>
      <c r="R20" s="52">
        <f t="shared" si="5"/>
        <v>2.9082056492831052E-3</v>
      </c>
      <c r="S20" s="53">
        <f t="shared" si="6"/>
        <v>17.192731886868241</v>
      </c>
      <c r="T20" s="53">
        <f t="shared" si="7"/>
        <v>14.7612448393277</v>
      </c>
      <c r="U20" s="53">
        <f t="shared" si="8"/>
        <v>19.624218934408781</v>
      </c>
      <c r="V20" s="53">
        <f t="shared" si="9"/>
        <v>14.7612448393277</v>
      </c>
      <c r="W20" s="54">
        <f t="shared" si="10"/>
        <v>1</v>
      </c>
      <c r="X20" s="55" t="str">
        <f t="shared" si="11"/>
        <v/>
      </c>
      <c r="Y20" s="55" t="str">
        <f t="shared" si="12"/>
        <v/>
      </c>
      <c r="Z20" s="55">
        <f t="shared" si="13"/>
        <v>-2.1213793103448276E-2</v>
      </c>
      <c r="AA20" s="55" t="str">
        <f t="shared" si="14"/>
        <v/>
      </c>
      <c r="AB20" s="61"/>
      <c r="AC20" s="62"/>
      <c r="AD20" s="63"/>
      <c r="AE20" s="64"/>
      <c r="AF20" s="64"/>
      <c r="AG20" s="73"/>
      <c r="AH20" s="74"/>
      <c r="AI20" s="75">
        <v>1.7999999999999999E-2</v>
      </c>
      <c r="AJ20" s="75">
        <v>2.2599999999999999E-2</v>
      </c>
      <c r="AK20" s="75">
        <v>2.2800000000000001E-2</v>
      </c>
      <c r="AL20" s="75">
        <v>1.9400000000000001E-2</v>
      </c>
      <c r="AM20" s="75">
        <v>2.4500000000000001E-2</v>
      </c>
      <c r="AN20" s="75">
        <v>2.0899999999999998E-2</v>
      </c>
      <c r="AO20" s="75">
        <v>2.3599999999999999E-2</v>
      </c>
      <c r="AP20" s="75">
        <v>2.5000000000000001E-2</v>
      </c>
      <c r="AQ20" s="75">
        <v>2.1399999999999999E-2</v>
      </c>
      <c r="AR20" s="75">
        <v>2.4400000000000002E-2</v>
      </c>
      <c r="AS20" s="75">
        <v>1.6299999999999999E-2</v>
      </c>
      <c r="AT20" s="75">
        <v>2.8500000000000001E-2</v>
      </c>
      <c r="AU20" s="75">
        <v>2.2599999999999999E-2</v>
      </c>
      <c r="AV20" s="75">
        <v>2.2800000000000001E-2</v>
      </c>
      <c r="AW20" s="75">
        <v>2.47E-2</v>
      </c>
      <c r="AX20" s="75">
        <v>2.1100000000000001E-2</v>
      </c>
      <c r="AY20" s="75">
        <v>2.3099999999999999E-2</v>
      </c>
      <c r="AZ20" s="75">
        <v>2.0500000000000001E-2</v>
      </c>
      <c r="BA20" s="75">
        <v>1.83E-2</v>
      </c>
      <c r="BB20" s="75">
        <v>2.07E-2</v>
      </c>
      <c r="BC20" s="75">
        <v>1.8800000000000001E-2</v>
      </c>
      <c r="BD20" s="75">
        <v>2.07E-2</v>
      </c>
      <c r="BE20" s="75">
        <v>2.0799999999999999E-2</v>
      </c>
      <c r="BF20" s="75">
        <v>1.9900000000000001E-2</v>
      </c>
      <c r="BG20" s="75">
        <v>2.1600000000000001E-2</v>
      </c>
      <c r="BH20" s="75">
        <v>1.41E-2</v>
      </c>
      <c r="BI20" s="75">
        <v>1.9300000000000001E-2</v>
      </c>
      <c r="BJ20" s="75">
        <v>2.0400000000000001E-2</v>
      </c>
      <c r="BK20" s="75">
        <v>1.84E-2</v>
      </c>
      <c r="BL20" s="75"/>
      <c r="BM20" s="75"/>
      <c r="BN20" s="80"/>
      <c r="BO20" s="81"/>
      <c r="BP20" s="82"/>
      <c r="BQ20" s="82"/>
      <c r="BR20" s="82"/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2"/>
      <c r="CP20" s="82"/>
      <c r="CQ20" s="82"/>
      <c r="CR20" s="82"/>
      <c r="CS20" s="82"/>
      <c r="CT20" s="82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2"/>
      <c r="DG20" s="82"/>
      <c r="DH20" s="82"/>
      <c r="DI20" s="82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2"/>
      <c r="DZ20" s="82"/>
      <c r="EA20" s="82"/>
      <c r="EB20" s="82"/>
      <c r="EC20" s="82"/>
      <c r="ED20" s="82"/>
    </row>
    <row r="21" spans="1:134" ht="15" customHeight="1">
      <c r="A21" s="22"/>
      <c r="B21" s="23"/>
      <c r="C21" s="24" t="s">
        <v>93</v>
      </c>
      <c r="D21" s="23" t="s">
        <v>54</v>
      </c>
      <c r="E21" s="23"/>
      <c r="F21" s="25" t="s">
        <v>50</v>
      </c>
      <c r="G21" s="26">
        <v>0</v>
      </c>
      <c r="H21" s="27">
        <v>0.15</v>
      </c>
      <c r="I21" s="27">
        <v>-0.15</v>
      </c>
      <c r="J21" s="39" t="s">
        <v>51</v>
      </c>
      <c r="K21" s="40" t="s">
        <v>52</v>
      </c>
      <c r="L21" s="41">
        <f t="shared" si="0"/>
        <v>0.15</v>
      </c>
      <c r="M21" s="42">
        <f t="shared" si="1"/>
        <v>-0.15</v>
      </c>
      <c r="N21" s="45"/>
      <c r="O21" s="44">
        <f t="shared" si="2"/>
        <v>1.14E-2</v>
      </c>
      <c r="P21" s="44">
        <f t="shared" si="3"/>
        <v>4.0000000000000002E-4</v>
      </c>
      <c r="Q21" s="44">
        <f t="shared" si="4"/>
        <v>4.8068965517241375E-3</v>
      </c>
      <c r="R21" s="52">
        <f t="shared" si="5"/>
        <v>2.7976943357091591E-3</v>
      </c>
      <c r="S21" s="53">
        <f t="shared" si="6"/>
        <v>17.871859467208736</v>
      </c>
      <c r="T21" s="53">
        <f t="shared" si="7"/>
        <v>17.299138269569909</v>
      </c>
      <c r="U21" s="53">
        <f t="shared" si="8"/>
        <v>18.444580664847564</v>
      </c>
      <c r="V21" s="53">
        <f t="shared" si="9"/>
        <v>17.299138269569909</v>
      </c>
      <c r="W21" s="54">
        <f t="shared" si="10"/>
        <v>1</v>
      </c>
      <c r="X21" s="55" t="str">
        <f t="shared" si="11"/>
        <v/>
      </c>
      <c r="Y21" s="55" t="str">
        <f t="shared" si="12"/>
        <v/>
      </c>
      <c r="Z21" s="55">
        <f t="shared" si="13"/>
        <v>-4.8068965517241375E-3</v>
      </c>
      <c r="AA21" s="55" t="str">
        <f t="shared" si="14"/>
        <v/>
      </c>
      <c r="AB21" s="61"/>
      <c r="AC21" s="62"/>
      <c r="AD21" s="63"/>
      <c r="AE21" s="64"/>
      <c r="AF21" s="64"/>
      <c r="AG21" s="73"/>
      <c r="AH21" s="74"/>
      <c r="AI21" s="75">
        <v>2.8E-3</v>
      </c>
      <c r="AJ21" s="75">
        <v>6.3E-3</v>
      </c>
      <c r="AK21" s="75">
        <v>5.1000000000000004E-3</v>
      </c>
      <c r="AL21" s="75">
        <v>9.1999999999999998E-3</v>
      </c>
      <c r="AM21" s="75">
        <v>7.0000000000000001E-3</v>
      </c>
      <c r="AN21" s="75">
        <v>6.0000000000000001E-3</v>
      </c>
      <c r="AO21" s="75">
        <v>1.03E-2</v>
      </c>
      <c r="AP21" s="75">
        <v>1.4E-3</v>
      </c>
      <c r="AQ21" s="75">
        <v>8.3000000000000001E-3</v>
      </c>
      <c r="AR21" s="75">
        <v>1.14E-2</v>
      </c>
      <c r="AS21" s="75">
        <v>4.4000000000000003E-3</v>
      </c>
      <c r="AT21" s="75">
        <v>2.2000000000000001E-3</v>
      </c>
      <c r="AU21" s="75">
        <v>8.6999999999999994E-3</v>
      </c>
      <c r="AV21" s="75">
        <v>7.0000000000000001E-3</v>
      </c>
      <c r="AW21" s="75">
        <v>4.3E-3</v>
      </c>
      <c r="AX21" s="75">
        <v>2.7000000000000001E-3</v>
      </c>
      <c r="AY21" s="75">
        <v>2.7000000000000001E-3</v>
      </c>
      <c r="AZ21" s="75">
        <v>3.2000000000000002E-3</v>
      </c>
      <c r="BA21" s="75">
        <v>6.3E-3</v>
      </c>
      <c r="BB21" s="75">
        <v>2.0999999999999999E-3</v>
      </c>
      <c r="BC21" s="75">
        <v>4.3E-3</v>
      </c>
      <c r="BD21" s="75">
        <v>3.0000000000000001E-3</v>
      </c>
      <c r="BE21" s="75">
        <v>3.0000000000000001E-3</v>
      </c>
      <c r="BF21" s="75">
        <v>3.8999999999999998E-3</v>
      </c>
      <c r="BG21" s="75">
        <v>4.0000000000000002E-4</v>
      </c>
      <c r="BH21" s="75">
        <v>1.4E-3</v>
      </c>
      <c r="BI21" s="75">
        <v>4.7999999999999996E-3</v>
      </c>
      <c r="BJ21" s="75">
        <v>3.3999999999999998E-3</v>
      </c>
      <c r="BK21" s="75">
        <v>3.8E-3</v>
      </c>
      <c r="BL21" s="75"/>
      <c r="BM21" s="75"/>
      <c r="BN21" s="80"/>
      <c r="BO21" s="81"/>
      <c r="BP21" s="82"/>
      <c r="BQ21" s="82"/>
      <c r="BR21" s="82"/>
      <c r="BS21" s="82"/>
      <c r="BT21" s="82"/>
      <c r="BU21" s="82"/>
      <c r="BV21" s="82"/>
      <c r="BW21" s="82"/>
      <c r="BX21" s="82"/>
      <c r="BY21" s="82"/>
      <c r="BZ21" s="82"/>
      <c r="CA21" s="82"/>
      <c r="CB21" s="82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82"/>
      <c r="CP21" s="82"/>
      <c r="CQ21" s="82"/>
      <c r="CR21" s="82"/>
      <c r="CS21" s="82"/>
      <c r="CT21" s="82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2"/>
      <c r="DG21" s="82"/>
      <c r="DH21" s="82"/>
      <c r="DI21" s="82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2"/>
      <c r="DZ21" s="82"/>
      <c r="EA21" s="82"/>
      <c r="EB21" s="82"/>
      <c r="EC21" s="82"/>
      <c r="ED21" s="82"/>
    </row>
    <row r="22" spans="1:134" ht="15" customHeight="1">
      <c r="A22" s="22"/>
      <c r="B22" s="23"/>
      <c r="C22" s="24" t="s">
        <v>94</v>
      </c>
      <c r="D22" s="23" t="s">
        <v>54</v>
      </c>
      <c r="E22" s="23"/>
      <c r="F22" s="25" t="s">
        <v>50</v>
      </c>
      <c r="G22" s="26">
        <v>0</v>
      </c>
      <c r="H22" s="27">
        <v>0.15</v>
      </c>
      <c r="I22" s="27">
        <v>-0.15</v>
      </c>
      <c r="J22" s="39" t="s">
        <v>51</v>
      </c>
      <c r="K22" s="40" t="s">
        <v>52</v>
      </c>
      <c r="L22" s="41">
        <f t="shared" si="0"/>
        <v>0.15</v>
      </c>
      <c r="M22" s="42">
        <f t="shared" si="1"/>
        <v>-0.15</v>
      </c>
      <c r="N22" s="46"/>
      <c r="O22" s="44">
        <f t="shared" si="2"/>
        <v>1.8E-3</v>
      </c>
      <c r="P22" s="44">
        <f t="shared" si="3"/>
        <v>-8.8999999999999999E-3</v>
      </c>
      <c r="Q22" s="44">
        <f t="shared" si="4"/>
        <v>-3.3517241379310342E-3</v>
      </c>
      <c r="R22" s="52">
        <f t="shared" si="5"/>
        <v>2.4026206955939911E-3</v>
      </c>
      <c r="S22" s="53">
        <f t="shared" si="6"/>
        <v>20.810609053560444</v>
      </c>
      <c r="T22" s="53">
        <f t="shared" si="7"/>
        <v>21.275618524826207</v>
      </c>
      <c r="U22" s="53">
        <f t="shared" si="8"/>
        <v>20.345599582294678</v>
      </c>
      <c r="V22" s="53">
        <f t="shared" si="9"/>
        <v>20.345599582294678</v>
      </c>
      <c r="W22" s="54">
        <f t="shared" si="10"/>
        <v>1</v>
      </c>
      <c r="X22" s="55" t="str">
        <f t="shared" si="11"/>
        <v/>
      </c>
      <c r="Y22" s="55" t="str">
        <f t="shared" si="12"/>
        <v/>
      </c>
      <c r="Z22" s="55">
        <f t="shared" si="13"/>
        <v>3.3517241379310342E-3</v>
      </c>
      <c r="AA22" s="55" t="str">
        <f t="shared" si="14"/>
        <v/>
      </c>
      <c r="AB22" s="61"/>
      <c r="AC22" s="62"/>
      <c r="AD22" s="63"/>
      <c r="AE22" s="64"/>
      <c r="AF22" s="64"/>
      <c r="AG22" s="73"/>
      <c r="AH22" s="76"/>
      <c r="AI22" s="75">
        <v>-1.5E-3</v>
      </c>
      <c r="AJ22" s="75">
        <v>-1.6999999999999999E-3</v>
      </c>
      <c r="AK22" s="75">
        <v>-4.5999999999999999E-3</v>
      </c>
      <c r="AL22" s="75">
        <v>-5.0000000000000001E-4</v>
      </c>
      <c r="AM22" s="75">
        <v>-4.4999999999999997E-3</v>
      </c>
      <c r="AN22" s="75">
        <v>-4.1999999999999997E-3</v>
      </c>
      <c r="AO22" s="75">
        <v>-4.0000000000000001E-3</v>
      </c>
      <c r="AP22" s="75">
        <v>-6.4000000000000003E-3</v>
      </c>
      <c r="AQ22" s="75">
        <v>-5.9999999999999995E-4</v>
      </c>
      <c r="AR22" s="75">
        <v>-5.4999999999999997E-3</v>
      </c>
      <c r="AS22" s="75">
        <v>-3.3E-3</v>
      </c>
      <c r="AT22" s="75">
        <v>-8.8999999999999999E-3</v>
      </c>
      <c r="AU22" s="75">
        <v>-3.8999999999999998E-3</v>
      </c>
      <c r="AV22" s="75">
        <v>-5.7000000000000002E-3</v>
      </c>
      <c r="AW22" s="75">
        <v>-5.8999999999999999E-3</v>
      </c>
      <c r="AX22" s="75">
        <v>-5.3E-3</v>
      </c>
      <c r="AY22" s="75">
        <v>-6.1000000000000004E-3</v>
      </c>
      <c r="AZ22" s="75">
        <v>-2E-3</v>
      </c>
      <c r="BA22" s="75">
        <v>-6.9999999999999999E-4</v>
      </c>
      <c r="BB22" s="75">
        <v>-1E-3</v>
      </c>
      <c r="BC22" s="75">
        <v>-1.4E-3</v>
      </c>
      <c r="BD22" s="75">
        <v>-6.0000000000000001E-3</v>
      </c>
      <c r="BE22" s="75">
        <v>-2.8999999999999998E-3</v>
      </c>
      <c r="BF22" s="75">
        <v>-3.7000000000000002E-3</v>
      </c>
      <c r="BG22" s="75">
        <v>-4.4999999999999997E-3</v>
      </c>
      <c r="BH22" s="75">
        <v>1.8E-3</v>
      </c>
      <c r="BI22" s="75">
        <v>-8.9999999999999998E-4</v>
      </c>
      <c r="BJ22" s="75">
        <v>-2.7000000000000001E-3</v>
      </c>
      <c r="BK22" s="75">
        <v>-5.9999999999999995E-4</v>
      </c>
      <c r="BL22" s="75"/>
      <c r="BM22" s="75"/>
      <c r="BN22" s="80"/>
      <c r="BO22" s="81"/>
      <c r="BP22" s="82"/>
      <c r="BQ22" s="82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82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2"/>
      <c r="DG22" s="82"/>
      <c r="DH22" s="82"/>
      <c r="DI22" s="82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2"/>
      <c r="DZ22" s="82"/>
      <c r="EA22" s="82"/>
      <c r="EB22" s="82"/>
      <c r="EC22" s="82"/>
      <c r="ED22" s="82"/>
    </row>
    <row r="23" spans="1:134" ht="15" customHeight="1">
      <c r="A23" s="22"/>
      <c r="B23" s="23"/>
      <c r="C23" s="24" t="s">
        <v>95</v>
      </c>
      <c r="D23" s="23" t="s">
        <v>54</v>
      </c>
      <c r="E23" s="23"/>
      <c r="F23" s="25" t="s">
        <v>50</v>
      </c>
      <c r="G23" s="26">
        <v>0</v>
      </c>
      <c r="H23" s="27">
        <v>0.15</v>
      </c>
      <c r="I23" s="27">
        <v>-0.15</v>
      </c>
      <c r="J23" s="39" t="s">
        <v>51</v>
      </c>
      <c r="K23" s="40" t="s">
        <v>52</v>
      </c>
      <c r="L23" s="41">
        <f t="shared" si="0"/>
        <v>0.15</v>
      </c>
      <c r="M23" s="42">
        <f t="shared" si="1"/>
        <v>-0.15</v>
      </c>
      <c r="N23" s="46"/>
      <c r="O23" s="44">
        <f t="shared" si="2"/>
        <v>-8.0000000000000002E-3</v>
      </c>
      <c r="P23" s="44">
        <f t="shared" si="3"/>
        <v>-2.3699999999999999E-2</v>
      </c>
      <c r="Q23" s="44">
        <f t="shared" si="4"/>
        <v>-1.611034482758621E-2</v>
      </c>
      <c r="R23" s="52">
        <f t="shared" si="5"/>
        <v>3.7668047114218905E-3</v>
      </c>
      <c r="S23" s="53">
        <f t="shared" si="6"/>
        <v>13.273849809199701</v>
      </c>
      <c r="T23" s="53">
        <f t="shared" si="7"/>
        <v>14.699491793305013</v>
      </c>
      <c r="U23" s="53">
        <f t="shared" si="8"/>
        <v>11.84820782509439</v>
      </c>
      <c r="V23" s="53">
        <f t="shared" si="9"/>
        <v>11.84820782509439</v>
      </c>
      <c r="W23" s="54">
        <f t="shared" si="10"/>
        <v>1</v>
      </c>
      <c r="X23" s="55" t="str">
        <f t="shared" si="11"/>
        <v/>
      </c>
      <c r="Y23" s="55" t="str">
        <f t="shared" si="12"/>
        <v/>
      </c>
      <c r="Z23" s="55">
        <f t="shared" si="13"/>
        <v>1.611034482758621E-2</v>
      </c>
      <c r="AA23" s="55" t="str">
        <f t="shared" si="14"/>
        <v/>
      </c>
      <c r="AB23" s="61"/>
      <c r="AC23" s="62"/>
      <c r="AD23" s="63"/>
      <c r="AE23" s="64"/>
      <c r="AF23" s="64"/>
      <c r="AG23" s="73"/>
      <c r="AH23" s="76"/>
      <c r="AI23" s="75">
        <v>-1.24E-2</v>
      </c>
      <c r="AJ23" s="75">
        <v>-2.07E-2</v>
      </c>
      <c r="AK23" s="75">
        <v>-1.84E-2</v>
      </c>
      <c r="AL23" s="75">
        <v>-1.78E-2</v>
      </c>
      <c r="AM23" s="75">
        <v>-1.8200000000000001E-2</v>
      </c>
      <c r="AN23" s="75">
        <v>-1.84E-2</v>
      </c>
      <c r="AO23" s="75">
        <v>-1.9900000000000001E-2</v>
      </c>
      <c r="AP23" s="75">
        <v>-1.43E-2</v>
      </c>
      <c r="AQ23" s="75">
        <v>-1.89E-2</v>
      </c>
      <c r="AR23" s="75">
        <v>-2.3099999999999999E-2</v>
      </c>
      <c r="AS23" s="75">
        <v>-1.2999999999999999E-2</v>
      </c>
      <c r="AT23" s="75">
        <v>-1.4999999999999999E-2</v>
      </c>
      <c r="AU23" s="75">
        <v>-2.3699999999999999E-2</v>
      </c>
      <c r="AV23" s="75">
        <v>-2.1700000000000001E-2</v>
      </c>
      <c r="AW23" s="75">
        <v>-1.9300000000000001E-2</v>
      </c>
      <c r="AX23" s="75">
        <v>-1.14E-2</v>
      </c>
      <c r="AY23" s="75">
        <v>-1.23E-2</v>
      </c>
      <c r="AZ23" s="75">
        <v>-1.2699999999999999E-2</v>
      </c>
      <c r="BA23" s="75">
        <v>-1.49E-2</v>
      </c>
      <c r="BB23" s="75">
        <v>-1.41E-2</v>
      </c>
      <c r="BC23" s="75">
        <v>-1.46E-2</v>
      </c>
      <c r="BD23" s="75">
        <v>-1.7899999999999999E-2</v>
      </c>
      <c r="BE23" s="75">
        <v>-1.24E-2</v>
      </c>
      <c r="BF23" s="75">
        <v>-1.54E-2</v>
      </c>
      <c r="BG23" s="75">
        <v>-1.44E-2</v>
      </c>
      <c r="BH23" s="75">
        <v>-8.0000000000000002E-3</v>
      </c>
      <c r="BI23" s="75">
        <v>-1.5699999999999999E-2</v>
      </c>
      <c r="BJ23" s="75">
        <v>-1.67E-2</v>
      </c>
      <c r="BK23" s="75">
        <v>-1.1900000000000001E-2</v>
      </c>
      <c r="BL23" s="75"/>
      <c r="BM23" s="75"/>
      <c r="BN23" s="80"/>
      <c r="BO23" s="81"/>
      <c r="BP23" s="82"/>
      <c r="BQ23" s="82"/>
      <c r="BR23" s="82"/>
      <c r="BS23" s="82"/>
      <c r="BT23" s="82"/>
      <c r="BU23" s="82"/>
      <c r="BV23" s="82"/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82"/>
      <c r="CP23" s="82"/>
      <c r="CQ23" s="82"/>
      <c r="CR23" s="82"/>
      <c r="CS23" s="82"/>
      <c r="CT23" s="82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2"/>
      <c r="DG23" s="82"/>
      <c r="DH23" s="82"/>
      <c r="DI23" s="82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2"/>
      <c r="DZ23" s="82"/>
      <c r="EA23" s="82"/>
      <c r="EB23" s="82"/>
      <c r="EC23" s="82"/>
      <c r="ED23" s="82"/>
    </row>
    <row r="24" spans="1:134" ht="15" customHeight="1">
      <c r="A24" s="22"/>
      <c r="B24" s="23"/>
      <c r="C24" s="24" t="s">
        <v>96</v>
      </c>
      <c r="D24" s="23" t="s">
        <v>54</v>
      </c>
      <c r="E24" s="23"/>
      <c r="F24" s="25" t="s">
        <v>50</v>
      </c>
      <c r="G24" s="26">
        <v>0</v>
      </c>
      <c r="H24" s="27">
        <v>0.15</v>
      </c>
      <c r="I24" s="27">
        <v>-0.15</v>
      </c>
      <c r="J24" s="39" t="s">
        <v>51</v>
      </c>
      <c r="K24" s="40" t="s">
        <v>52</v>
      </c>
      <c r="L24" s="41">
        <f t="shared" si="0"/>
        <v>0.15</v>
      </c>
      <c r="M24" s="42">
        <f t="shared" si="1"/>
        <v>-0.15</v>
      </c>
      <c r="N24" s="45"/>
      <c r="O24" s="44">
        <f t="shared" si="2"/>
        <v>6.1999999999999998E-3</v>
      </c>
      <c r="P24" s="44">
        <f t="shared" si="3"/>
        <v>-4.5999999999999999E-3</v>
      </c>
      <c r="Q24" s="44">
        <f t="shared" si="4"/>
        <v>2.6551724137931036E-4</v>
      </c>
      <c r="R24" s="52">
        <f t="shared" si="5"/>
        <v>2.4747692334075692E-3</v>
      </c>
      <c r="S24" s="53">
        <f t="shared" si="6"/>
        <v>20.203903994375182</v>
      </c>
      <c r="T24" s="53">
        <f t="shared" si="7"/>
        <v>20.168140762017327</v>
      </c>
      <c r="U24" s="53">
        <f t="shared" si="8"/>
        <v>20.23966722673304</v>
      </c>
      <c r="V24" s="53">
        <f t="shared" si="9"/>
        <v>20.168140762017327</v>
      </c>
      <c r="W24" s="54">
        <f t="shared" si="10"/>
        <v>1</v>
      </c>
      <c r="X24" s="55" t="str">
        <f t="shared" si="11"/>
        <v/>
      </c>
      <c r="Y24" s="55" t="str">
        <f t="shared" si="12"/>
        <v/>
      </c>
      <c r="Z24" s="55">
        <f t="shared" si="13"/>
        <v>-2.6551724137931036E-4</v>
      </c>
      <c r="AA24" s="55" t="str">
        <f t="shared" si="14"/>
        <v/>
      </c>
      <c r="AB24" s="61"/>
      <c r="AC24" s="62"/>
      <c r="AD24" s="63"/>
      <c r="AE24" s="64"/>
      <c r="AF24" s="64"/>
      <c r="AG24" s="73"/>
      <c r="AH24" s="74"/>
      <c r="AI24" s="75">
        <v>5.0000000000000001E-4</v>
      </c>
      <c r="AJ24" s="75">
        <v>2.0000000000000001E-4</v>
      </c>
      <c r="AK24" s="75">
        <v>1.5E-3</v>
      </c>
      <c r="AL24" s="75">
        <v>-4.5999999999999999E-3</v>
      </c>
      <c r="AM24" s="75">
        <v>-1.2999999999999999E-3</v>
      </c>
      <c r="AN24" s="75">
        <v>5.0000000000000001E-4</v>
      </c>
      <c r="AO24" s="75">
        <v>-2.0999999999999999E-3</v>
      </c>
      <c r="AP24" s="75">
        <v>1.9E-3</v>
      </c>
      <c r="AQ24" s="75">
        <v>-3.8999999999999998E-3</v>
      </c>
      <c r="AR24" s="75">
        <v>-1.1000000000000001E-3</v>
      </c>
      <c r="AS24" s="75">
        <v>1.5E-3</v>
      </c>
      <c r="AT24" s="75">
        <v>2.5999999999999999E-3</v>
      </c>
      <c r="AU24" s="75">
        <v>2.3999999999999998E-3</v>
      </c>
      <c r="AV24" s="75">
        <v>3.2000000000000002E-3</v>
      </c>
      <c r="AW24" s="75">
        <v>3.3E-3</v>
      </c>
      <c r="AX24" s="75">
        <v>1E-4</v>
      </c>
      <c r="AY24" s="75">
        <v>1.4E-3</v>
      </c>
      <c r="AZ24" s="75">
        <v>-1.4E-3</v>
      </c>
      <c r="BA24" s="75">
        <v>-2.5999999999999999E-3</v>
      </c>
      <c r="BB24" s="75">
        <v>-1.4E-3</v>
      </c>
      <c r="BC24" s="75">
        <v>-4.0000000000000002E-4</v>
      </c>
      <c r="BD24" s="75">
        <v>6.1999999999999998E-3</v>
      </c>
      <c r="BE24" s="75">
        <v>1E-4</v>
      </c>
      <c r="BF24" s="75">
        <v>1.4E-3</v>
      </c>
      <c r="BG24" s="75">
        <v>4.1000000000000003E-3</v>
      </c>
      <c r="BH24" s="75">
        <v>-2.5999999999999999E-3</v>
      </c>
      <c r="BI24" s="75">
        <v>-5.9999999999999995E-4</v>
      </c>
      <c r="BJ24" s="75">
        <v>1.6000000000000001E-3</v>
      </c>
      <c r="BK24" s="75">
        <v>-2.8E-3</v>
      </c>
      <c r="BL24" s="75"/>
      <c r="BM24" s="75"/>
      <c r="BN24" s="80"/>
      <c r="BO24" s="81"/>
      <c r="BP24" s="82"/>
      <c r="BQ24" s="82"/>
      <c r="BR24" s="82"/>
      <c r="BS24" s="82"/>
      <c r="BT24" s="82"/>
      <c r="BU24" s="82"/>
      <c r="BV24" s="82"/>
      <c r="BW24" s="82"/>
      <c r="BX24" s="82"/>
      <c r="BY24" s="82"/>
      <c r="BZ24" s="82"/>
      <c r="CA24" s="82"/>
      <c r="CB24" s="82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82"/>
      <c r="CP24" s="82"/>
      <c r="CQ24" s="82"/>
      <c r="CR24" s="82"/>
      <c r="CS24" s="82"/>
      <c r="CT24" s="82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2"/>
      <c r="DG24" s="82"/>
      <c r="DH24" s="82"/>
      <c r="DI24" s="82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2"/>
      <c r="DZ24" s="82"/>
      <c r="EA24" s="82"/>
      <c r="EB24" s="82"/>
      <c r="EC24" s="82"/>
      <c r="ED24" s="82"/>
    </row>
    <row r="25" spans="1:134" ht="15" customHeight="1">
      <c r="A25" s="22"/>
      <c r="B25" s="23"/>
      <c r="C25" s="24" t="s">
        <v>97</v>
      </c>
      <c r="D25" s="23" t="s">
        <v>54</v>
      </c>
      <c r="E25" s="23"/>
      <c r="F25" s="25" t="s">
        <v>50</v>
      </c>
      <c r="G25" s="26">
        <v>0</v>
      </c>
      <c r="H25" s="27">
        <v>0.15</v>
      </c>
      <c r="I25" s="27">
        <v>-0.15</v>
      </c>
      <c r="J25" s="39" t="s">
        <v>51</v>
      </c>
      <c r="K25" s="40" t="s">
        <v>52</v>
      </c>
      <c r="L25" s="41">
        <f t="shared" si="0"/>
        <v>0.15</v>
      </c>
      <c r="M25" s="42">
        <f t="shared" si="1"/>
        <v>-0.15</v>
      </c>
      <c r="N25" s="45"/>
      <c r="O25" s="44">
        <f t="shared" si="2"/>
        <v>0.01</v>
      </c>
      <c r="P25" s="44">
        <f t="shared" si="3"/>
        <v>-4.0000000000000001E-3</v>
      </c>
      <c r="Q25" s="44">
        <f t="shared" si="4"/>
        <v>4.4655172413793102E-3</v>
      </c>
      <c r="R25" s="52">
        <f t="shared" si="5"/>
        <v>3.307704843248451E-3</v>
      </c>
      <c r="S25" s="53">
        <f t="shared" si="6"/>
        <v>15.116221782018403</v>
      </c>
      <c r="T25" s="53">
        <f t="shared" si="7"/>
        <v>14.666210122070959</v>
      </c>
      <c r="U25" s="53">
        <f t="shared" si="8"/>
        <v>15.566233441965847</v>
      </c>
      <c r="V25" s="53">
        <f t="shared" si="9"/>
        <v>14.666210122070959</v>
      </c>
      <c r="W25" s="54">
        <f t="shared" si="10"/>
        <v>1</v>
      </c>
      <c r="X25" s="55" t="str">
        <f t="shared" si="11"/>
        <v/>
      </c>
      <c r="Y25" s="55" t="str">
        <f t="shared" si="12"/>
        <v/>
      </c>
      <c r="Z25" s="55">
        <f t="shared" si="13"/>
        <v>-4.4655172413793102E-3</v>
      </c>
      <c r="AA25" s="55" t="str">
        <f t="shared" si="14"/>
        <v/>
      </c>
      <c r="AB25" s="61"/>
      <c r="AC25" s="62"/>
      <c r="AD25" s="63"/>
      <c r="AE25" s="64"/>
      <c r="AF25" s="64"/>
      <c r="AG25" s="73"/>
      <c r="AH25" s="74"/>
      <c r="AI25" s="75">
        <v>6.9999999999999999E-4</v>
      </c>
      <c r="AJ25" s="75">
        <v>6.7000000000000002E-3</v>
      </c>
      <c r="AK25" s="75">
        <v>6.8999999999999999E-3</v>
      </c>
      <c r="AL25" s="75">
        <v>4.5999999999999999E-3</v>
      </c>
      <c r="AM25" s="75">
        <v>5.7999999999999996E-3</v>
      </c>
      <c r="AN25" s="75">
        <v>8.5000000000000006E-3</v>
      </c>
      <c r="AO25" s="75">
        <v>4.8999999999999998E-3</v>
      </c>
      <c r="AP25" s="75">
        <v>5.5999999999999999E-3</v>
      </c>
      <c r="AQ25" s="75">
        <v>5.1999999999999998E-3</v>
      </c>
      <c r="AR25" s="75">
        <v>0.01</v>
      </c>
      <c r="AS25" s="75">
        <v>2.7000000000000001E-3</v>
      </c>
      <c r="AT25" s="75">
        <v>5.4000000000000003E-3</v>
      </c>
      <c r="AU25" s="75">
        <v>9.2999999999999992E-3</v>
      </c>
      <c r="AV25" s="75">
        <v>9.7000000000000003E-3</v>
      </c>
      <c r="AW25" s="75">
        <v>8.3999999999999995E-3</v>
      </c>
      <c r="AX25" s="75">
        <v>2.3999999999999998E-3</v>
      </c>
      <c r="AY25" s="75">
        <v>2.7000000000000001E-3</v>
      </c>
      <c r="AZ25" s="75">
        <v>1.4E-3</v>
      </c>
      <c r="BA25" s="75">
        <v>1.5E-3</v>
      </c>
      <c r="BB25" s="75">
        <v>3.0999999999999999E-3</v>
      </c>
      <c r="BC25" s="75">
        <v>2.3E-3</v>
      </c>
      <c r="BD25" s="75">
        <v>8.0999999999999996E-3</v>
      </c>
      <c r="BE25" s="75">
        <v>0</v>
      </c>
      <c r="BF25" s="75">
        <v>4.7999999999999996E-3</v>
      </c>
      <c r="BG25" s="75">
        <v>4.1000000000000003E-3</v>
      </c>
      <c r="BH25" s="75">
        <v>-4.0000000000000001E-3</v>
      </c>
      <c r="BI25" s="75">
        <v>2.7000000000000001E-3</v>
      </c>
      <c r="BJ25" s="75">
        <v>5.7999999999999996E-3</v>
      </c>
      <c r="BK25" s="75">
        <v>2.0000000000000001E-4</v>
      </c>
      <c r="BL25" s="75"/>
      <c r="BM25" s="75"/>
      <c r="BN25" s="80"/>
      <c r="BO25" s="81"/>
      <c r="BP25" s="82"/>
      <c r="BQ25" s="82"/>
      <c r="BR25" s="82"/>
      <c r="BS25" s="82"/>
      <c r="BT25" s="82"/>
      <c r="BU25" s="82"/>
      <c r="BV25" s="82"/>
      <c r="BW25" s="82"/>
      <c r="BX25" s="82"/>
      <c r="BY25" s="82"/>
      <c r="BZ25" s="82"/>
      <c r="CA25" s="82"/>
      <c r="CB25" s="82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82"/>
      <c r="CP25" s="82"/>
      <c r="CQ25" s="82"/>
      <c r="CR25" s="82"/>
      <c r="CS25" s="82"/>
      <c r="CT25" s="82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2"/>
      <c r="DG25" s="82"/>
      <c r="DH25" s="82"/>
      <c r="DI25" s="82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2"/>
      <c r="DZ25" s="82"/>
      <c r="EA25" s="82"/>
      <c r="EB25" s="82"/>
      <c r="EC25" s="82"/>
      <c r="ED25" s="82"/>
    </row>
    <row r="26" spans="1:134" ht="15" customHeight="1">
      <c r="A26" s="22"/>
      <c r="B26" s="23"/>
      <c r="C26" s="24" t="s">
        <v>98</v>
      </c>
      <c r="D26" s="23" t="s">
        <v>54</v>
      </c>
      <c r="E26" s="23"/>
      <c r="F26" s="25" t="s">
        <v>50</v>
      </c>
      <c r="G26" s="26">
        <v>0</v>
      </c>
      <c r="H26" s="27">
        <v>0.15</v>
      </c>
      <c r="I26" s="27">
        <v>-0.15</v>
      </c>
      <c r="J26" s="39" t="s">
        <v>51</v>
      </c>
      <c r="K26" s="40" t="s">
        <v>52</v>
      </c>
      <c r="L26" s="41">
        <f t="shared" si="0"/>
        <v>0.15</v>
      </c>
      <c r="M26" s="42">
        <f t="shared" si="1"/>
        <v>-0.15</v>
      </c>
      <c r="N26" s="45"/>
      <c r="O26" s="44">
        <f t="shared" si="2"/>
        <v>2.5000000000000001E-2</v>
      </c>
      <c r="P26" s="44">
        <f t="shared" si="3"/>
        <v>1.23E-2</v>
      </c>
      <c r="Q26" s="44">
        <f t="shared" si="4"/>
        <v>1.9189655172413791E-2</v>
      </c>
      <c r="R26" s="52">
        <f t="shared" si="5"/>
        <v>2.690372362383293E-3</v>
      </c>
      <c r="S26" s="53">
        <f t="shared" si="6"/>
        <v>18.584788001504375</v>
      </c>
      <c r="T26" s="53">
        <f t="shared" si="7"/>
        <v>16.207216846829159</v>
      </c>
      <c r="U26" s="53">
        <f t="shared" si="8"/>
        <v>20.962359156179591</v>
      </c>
      <c r="V26" s="53">
        <f t="shared" si="9"/>
        <v>16.207216846829159</v>
      </c>
      <c r="W26" s="54">
        <f t="shared" si="10"/>
        <v>1</v>
      </c>
      <c r="X26" s="55" t="str">
        <f t="shared" si="11"/>
        <v/>
      </c>
      <c r="Y26" s="55" t="str">
        <f t="shared" si="12"/>
        <v/>
      </c>
      <c r="Z26" s="55">
        <f t="shared" si="13"/>
        <v>-1.9189655172413791E-2</v>
      </c>
      <c r="AA26" s="55" t="str">
        <f t="shared" si="14"/>
        <v/>
      </c>
      <c r="AB26" s="61"/>
      <c r="AC26" s="62"/>
      <c r="AD26" s="63"/>
      <c r="AE26" s="64"/>
      <c r="AF26" s="64"/>
      <c r="AG26" s="73"/>
      <c r="AH26" s="74"/>
      <c r="AI26" s="75">
        <v>1.72E-2</v>
      </c>
      <c r="AJ26" s="75">
        <v>2.0500000000000001E-2</v>
      </c>
      <c r="AK26" s="75">
        <v>1.9199999999999998E-2</v>
      </c>
      <c r="AL26" s="75">
        <v>2.2200000000000001E-2</v>
      </c>
      <c r="AM26" s="75">
        <v>2.2800000000000001E-2</v>
      </c>
      <c r="AN26" s="75">
        <v>1.7899999999999999E-2</v>
      </c>
      <c r="AO26" s="75">
        <v>2.5000000000000001E-2</v>
      </c>
      <c r="AP26" s="75">
        <v>1.84E-2</v>
      </c>
      <c r="AQ26" s="75">
        <v>2.3199999999999998E-2</v>
      </c>
      <c r="AR26" s="75">
        <v>2.2800000000000001E-2</v>
      </c>
      <c r="AS26" s="75">
        <v>1.49E-2</v>
      </c>
      <c r="AT26" s="75">
        <v>2.06E-2</v>
      </c>
      <c r="AU26" s="75">
        <v>1.8700000000000001E-2</v>
      </c>
      <c r="AV26" s="75">
        <v>1.8100000000000002E-2</v>
      </c>
      <c r="AW26" s="75">
        <v>1.7399999999999999E-2</v>
      </c>
      <c r="AX26" s="75">
        <v>1.89E-2</v>
      </c>
      <c r="AY26" s="75">
        <v>1.8800000000000001E-2</v>
      </c>
      <c r="AZ26" s="75">
        <v>1.9599999999999999E-2</v>
      </c>
      <c r="BA26" s="75">
        <v>2.1899999999999999E-2</v>
      </c>
      <c r="BB26" s="75">
        <v>1.9699999999999999E-2</v>
      </c>
      <c r="BC26" s="75">
        <v>1.8700000000000001E-2</v>
      </c>
      <c r="BD26" s="75">
        <v>1.23E-2</v>
      </c>
      <c r="BE26" s="75">
        <v>2.0299999999999999E-2</v>
      </c>
      <c r="BF26" s="75">
        <v>1.7299999999999999E-2</v>
      </c>
      <c r="BG26" s="75">
        <v>1.55E-2</v>
      </c>
      <c r="BH26" s="75">
        <v>1.8499999999999999E-2</v>
      </c>
      <c r="BI26" s="75">
        <v>1.9E-2</v>
      </c>
      <c r="BJ26" s="75">
        <v>1.6400000000000001E-2</v>
      </c>
      <c r="BK26" s="75">
        <v>2.07E-2</v>
      </c>
      <c r="BL26" s="75"/>
      <c r="BM26" s="75"/>
      <c r="BN26" s="80"/>
      <c r="BO26" s="81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2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82"/>
      <c r="CO26" s="82"/>
      <c r="CP26" s="82"/>
      <c r="CQ26" s="82"/>
      <c r="CR26" s="82"/>
      <c r="CS26" s="82"/>
      <c r="CT26" s="82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2"/>
      <c r="DG26" s="82"/>
      <c r="DH26" s="82"/>
      <c r="DI26" s="82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2"/>
      <c r="DZ26" s="82"/>
      <c r="EA26" s="82"/>
      <c r="EB26" s="82"/>
      <c r="EC26" s="82"/>
      <c r="ED26" s="82"/>
    </row>
    <row r="27" spans="1:134" ht="15" customHeight="1">
      <c r="A27" s="22"/>
      <c r="B27" s="23"/>
      <c r="C27" s="24" t="s">
        <v>99</v>
      </c>
      <c r="D27" s="23" t="s">
        <v>54</v>
      </c>
      <c r="E27" s="23"/>
      <c r="F27" s="25" t="s">
        <v>50</v>
      </c>
      <c r="G27" s="26">
        <v>0</v>
      </c>
      <c r="H27" s="27">
        <v>0.15</v>
      </c>
      <c r="I27" s="27">
        <v>-0.15</v>
      </c>
      <c r="J27" s="39" t="s">
        <v>51</v>
      </c>
      <c r="K27" s="40" t="s">
        <v>52</v>
      </c>
      <c r="L27" s="41">
        <f t="shared" si="0"/>
        <v>0.15</v>
      </c>
      <c r="M27" s="42">
        <f t="shared" si="1"/>
        <v>-0.15</v>
      </c>
      <c r="N27" s="45"/>
      <c r="O27" s="44">
        <f t="shared" si="2"/>
        <v>3.2000000000000002E-3</v>
      </c>
      <c r="P27" s="44">
        <f t="shared" si="3"/>
        <v>-6.0000000000000001E-3</v>
      </c>
      <c r="Q27" s="44">
        <f t="shared" si="4"/>
        <v>-1.8758620689655172E-3</v>
      </c>
      <c r="R27" s="52">
        <f t="shared" si="5"/>
        <v>2.2059424892797758E-3</v>
      </c>
      <c r="S27" s="53">
        <f t="shared" si="6"/>
        <v>22.666048749224025</v>
      </c>
      <c r="T27" s="53">
        <f t="shared" si="7"/>
        <v>22.949504623237306</v>
      </c>
      <c r="U27" s="53">
        <f t="shared" si="8"/>
        <v>22.382592875210744</v>
      </c>
      <c r="V27" s="53">
        <f t="shared" si="9"/>
        <v>22.382592875210744</v>
      </c>
      <c r="W27" s="54">
        <f t="shared" si="10"/>
        <v>1</v>
      </c>
      <c r="X27" s="55" t="str">
        <f t="shared" si="11"/>
        <v/>
      </c>
      <c r="Y27" s="55" t="str">
        <f t="shared" si="12"/>
        <v/>
      </c>
      <c r="Z27" s="55">
        <f t="shared" si="13"/>
        <v>1.8758620689655172E-3</v>
      </c>
      <c r="AA27" s="55" t="str">
        <f t="shared" si="14"/>
        <v/>
      </c>
      <c r="AB27" s="61"/>
      <c r="AC27" s="62"/>
      <c r="AD27" s="63"/>
      <c r="AE27" s="64"/>
      <c r="AF27" s="64"/>
      <c r="AG27" s="73"/>
      <c r="AH27" s="74"/>
      <c r="AI27" s="75">
        <v>-2.9999999999999997E-4</v>
      </c>
      <c r="AJ27" s="75">
        <v>-2.5000000000000001E-3</v>
      </c>
      <c r="AK27" s="75">
        <v>-3.7000000000000002E-3</v>
      </c>
      <c r="AL27" s="75">
        <v>1.5E-3</v>
      </c>
      <c r="AM27" s="75">
        <v>-1.6999999999999999E-3</v>
      </c>
      <c r="AN27" s="75">
        <v>-5.1000000000000004E-3</v>
      </c>
      <c r="AO27" s="75">
        <v>-5.0000000000000001E-4</v>
      </c>
      <c r="AP27" s="75">
        <v>-3.5999999999999999E-3</v>
      </c>
      <c r="AQ27" s="75">
        <v>1E-4</v>
      </c>
      <c r="AR27" s="75">
        <v>-2.8E-3</v>
      </c>
      <c r="AS27" s="75">
        <v>-6.9999999999999999E-4</v>
      </c>
      <c r="AT27" s="75">
        <v>-3.3E-3</v>
      </c>
      <c r="AU27" s="75">
        <v>-2.5999999999999999E-3</v>
      </c>
      <c r="AV27" s="75">
        <v>-5.4999999999999997E-3</v>
      </c>
      <c r="AW27" s="75">
        <v>-4.5999999999999999E-3</v>
      </c>
      <c r="AX27" s="75">
        <v>-1.9E-3</v>
      </c>
      <c r="AY27" s="75">
        <v>-2.7000000000000001E-3</v>
      </c>
      <c r="AZ27" s="75">
        <v>4.0000000000000002E-4</v>
      </c>
      <c r="BA27" s="75">
        <v>0</v>
      </c>
      <c r="BB27" s="75">
        <v>-1.9E-3</v>
      </c>
      <c r="BC27" s="75">
        <v>-2.9999999999999997E-4</v>
      </c>
      <c r="BD27" s="75">
        <v>-6.0000000000000001E-3</v>
      </c>
      <c r="BE27" s="75">
        <v>0</v>
      </c>
      <c r="BF27" s="75">
        <v>-3.0999999999999999E-3</v>
      </c>
      <c r="BG27" s="75">
        <v>-3.8999999999999998E-3</v>
      </c>
      <c r="BH27" s="75">
        <v>3.2000000000000002E-3</v>
      </c>
      <c r="BI27" s="75">
        <v>-2.9999999999999997E-4</v>
      </c>
      <c r="BJ27" s="75">
        <v>-3.2000000000000002E-3</v>
      </c>
      <c r="BK27" s="75">
        <v>5.9999999999999995E-4</v>
      </c>
      <c r="BL27" s="75"/>
      <c r="BM27" s="75"/>
      <c r="BN27" s="80"/>
      <c r="BO27" s="81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2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82"/>
      <c r="CP27" s="82"/>
      <c r="CQ27" s="82"/>
      <c r="CR27" s="82"/>
      <c r="CS27" s="82"/>
      <c r="CT27" s="82"/>
      <c r="CU27" s="82"/>
      <c r="CV27" s="82"/>
      <c r="CW27" s="82"/>
      <c r="CX27" s="82"/>
      <c r="CY27" s="82"/>
      <c r="CZ27" s="82"/>
      <c r="DA27" s="82"/>
      <c r="DB27" s="82"/>
      <c r="DC27" s="82"/>
      <c r="DD27" s="82"/>
      <c r="DE27" s="82"/>
      <c r="DF27" s="82"/>
      <c r="DG27" s="82"/>
      <c r="DH27" s="82"/>
      <c r="DI27" s="82"/>
      <c r="DJ27" s="82"/>
      <c r="DK27" s="82"/>
      <c r="DL27" s="82"/>
      <c r="DM27" s="82"/>
      <c r="DN27" s="82"/>
      <c r="DO27" s="82"/>
      <c r="DP27" s="82"/>
      <c r="DQ27" s="82"/>
      <c r="DR27" s="82"/>
      <c r="DS27" s="82"/>
      <c r="DT27" s="82"/>
      <c r="DU27" s="82"/>
      <c r="DV27" s="82"/>
      <c r="DW27" s="82"/>
      <c r="DX27" s="82"/>
      <c r="DY27" s="82"/>
      <c r="DZ27" s="82"/>
      <c r="EA27" s="82"/>
      <c r="EB27" s="82"/>
      <c r="EC27" s="82"/>
      <c r="ED27" s="82"/>
    </row>
    <row r="28" spans="1:134" ht="15" customHeight="1">
      <c r="A28" s="22"/>
      <c r="B28" s="23" t="s">
        <v>49</v>
      </c>
      <c r="C28" s="24" t="s">
        <v>100</v>
      </c>
      <c r="D28" s="23"/>
      <c r="E28" s="23">
        <v>1.33</v>
      </c>
      <c r="F28" s="25" t="s">
        <v>50</v>
      </c>
      <c r="G28" s="26">
        <v>0.98</v>
      </c>
      <c r="H28" s="27">
        <v>0.03</v>
      </c>
      <c r="I28" s="27">
        <v>-0.03</v>
      </c>
      <c r="J28" s="39" t="s">
        <v>51</v>
      </c>
      <c r="K28" s="40" t="s">
        <v>52</v>
      </c>
      <c r="L28" s="41">
        <f t="shared" si="0"/>
        <v>1.01</v>
      </c>
      <c r="M28" s="42">
        <f t="shared" si="1"/>
        <v>0.95</v>
      </c>
      <c r="N28" s="45"/>
      <c r="O28" s="44">
        <f t="shared" si="2"/>
        <v>0.98939999999999995</v>
      </c>
      <c r="P28" s="44">
        <f t="shared" si="3"/>
        <v>0.97370000000000001</v>
      </c>
      <c r="Q28" s="44">
        <f t="shared" si="4"/>
        <v>0.98015517241379302</v>
      </c>
      <c r="R28" s="52">
        <f t="shared" si="5"/>
        <v>4.005316663680248E-3</v>
      </c>
      <c r="S28" s="53">
        <f t="shared" si="6"/>
        <v>2.496681496042211</v>
      </c>
      <c r="T28" s="53">
        <f t="shared" si="7"/>
        <v>2.4837676262351041</v>
      </c>
      <c r="U28" s="53">
        <f t="shared" si="8"/>
        <v>2.5095953658493229</v>
      </c>
      <c r="V28" s="53">
        <f t="shared" si="9"/>
        <v>2.4837676262351041</v>
      </c>
      <c r="W28" s="54">
        <f t="shared" si="10"/>
        <v>0.99999999999992806</v>
      </c>
      <c r="X28" s="55" t="str">
        <f t="shared" si="11"/>
        <v/>
      </c>
      <c r="Y28" s="55" t="str">
        <f t="shared" si="12"/>
        <v/>
      </c>
      <c r="Z28" s="55">
        <f t="shared" si="13"/>
        <v>-1.5517241379303659E-4</v>
      </c>
      <c r="AA28" s="55" t="str">
        <f t="shared" si="14"/>
        <v/>
      </c>
      <c r="AB28" s="61"/>
      <c r="AC28" s="62"/>
      <c r="AD28" s="63"/>
      <c r="AE28" s="64"/>
      <c r="AF28" s="64"/>
      <c r="AG28" s="73"/>
      <c r="AH28" s="74"/>
      <c r="AI28" s="75">
        <v>0.98719999999999997</v>
      </c>
      <c r="AJ28" s="75">
        <v>0.97589999999999999</v>
      </c>
      <c r="AK28" s="75">
        <v>0.98570000000000002</v>
      </c>
      <c r="AL28" s="75">
        <v>0.97589999999999999</v>
      </c>
      <c r="AM28" s="75">
        <v>0.97370000000000001</v>
      </c>
      <c r="AN28" s="75">
        <v>0.97870000000000001</v>
      </c>
      <c r="AO28" s="75">
        <v>0.98029999999999995</v>
      </c>
      <c r="AP28" s="75">
        <v>0.98060000000000003</v>
      </c>
      <c r="AQ28" s="75">
        <v>0.97889999999999999</v>
      </c>
      <c r="AR28" s="75">
        <v>0.97940000000000005</v>
      </c>
      <c r="AS28" s="75">
        <v>0.97829999999999995</v>
      </c>
      <c r="AT28" s="75">
        <v>0.97919999999999996</v>
      </c>
      <c r="AU28" s="75">
        <v>0.97609999999999997</v>
      </c>
      <c r="AV28" s="75">
        <v>0.97760000000000002</v>
      </c>
      <c r="AW28" s="75">
        <v>0.97919999999999996</v>
      </c>
      <c r="AX28" s="75">
        <v>0.9788</v>
      </c>
      <c r="AY28" s="75">
        <v>0.98070000000000002</v>
      </c>
      <c r="AZ28" s="75">
        <v>0.98409999999999997</v>
      </c>
      <c r="BA28" s="75">
        <v>0.9819</v>
      </c>
      <c r="BB28" s="75">
        <v>0.97729999999999995</v>
      </c>
      <c r="BC28" s="75">
        <v>0.98089999999999999</v>
      </c>
      <c r="BD28" s="75">
        <v>0.97660000000000002</v>
      </c>
      <c r="BE28" s="75">
        <v>0.97729999999999995</v>
      </c>
      <c r="BF28" s="75">
        <v>0.98780000000000001</v>
      </c>
      <c r="BG28" s="75">
        <v>0.9859</v>
      </c>
      <c r="BH28" s="75">
        <v>0.98939999999999995</v>
      </c>
      <c r="BI28" s="75">
        <v>0.98160000000000003</v>
      </c>
      <c r="BJ28" s="75">
        <v>0.9748</v>
      </c>
      <c r="BK28" s="75">
        <v>0.98070000000000002</v>
      </c>
      <c r="BL28" s="75"/>
      <c r="BM28" s="75"/>
      <c r="BN28" s="80"/>
      <c r="BO28" s="81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  <c r="CT28" s="82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2"/>
      <c r="DG28" s="82"/>
      <c r="DH28" s="82"/>
      <c r="DI28" s="82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2"/>
      <c r="DZ28" s="82"/>
      <c r="EA28" s="82"/>
      <c r="EB28" s="82"/>
      <c r="EC28" s="82"/>
      <c r="ED28" s="82"/>
    </row>
    <row r="29" spans="1:134" ht="15" customHeight="1">
      <c r="A29" s="22"/>
      <c r="B29" s="23"/>
      <c r="C29" s="24" t="s">
        <v>101</v>
      </c>
      <c r="D29" s="23" t="s">
        <v>54</v>
      </c>
      <c r="E29" s="23"/>
      <c r="F29" s="25" t="s">
        <v>50</v>
      </c>
      <c r="G29" s="26">
        <v>0.98</v>
      </c>
      <c r="H29" s="27">
        <v>0.15</v>
      </c>
      <c r="I29" s="27">
        <v>-0.15</v>
      </c>
      <c r="J29" s="39" t="s">
        <v>51</v>
      </c>
      <c r="K29" s="40" t="s">
        <v>52</v>
      </c>
      <c r="L29" s="41">
        <f t="shared" si="0"/>
        <v>1.1299999999999999</v>
      </c>
      <c r="M29" s="42">
        <f t="shared" si="1"/>
        <v>0.83</v>
      </c>
      <c r="N29" s="45"/>
      <c r="O29" s="44">
        <f t="shared" si="2"/>
        <v>0.99770000000000003</v>
      </c>
      <c r="P29" s="44">
        <f t="shared" si="3"/>
        <v>0.95569999999999999</v>
      </c>
      <c r="Q29" s="44">
        <f t="shared" si="4"/>
        <v>0.97482068965517243</v>
      </c>
      <c r="R29" s="52">
        <f t="shared" si="5"/>
        <v>9.4236927592995547E-3</v>
      </c>
      <c r="S29" s="53">
        <f t="shared" si="6"/>
        <v>5.3057756950595243</v>
      </c>
      <c r="T29" s="53">
        <f t="shared" si="7"/>
        <v>5.4889774213578972</v>
      </c>
      <c r="U29" s="53">
        <f t="shared" si="8"/>
        <v>5.1225739687611496</v>
      </c>
      <c r="V29" s="53">
        <f t="shared" si="9"/>
        <v>5.1225739687611496</v>
      </c>
      <c r="W29" s="54">
        <f t="shared" si="10"/>
        <v>1</v>
      </c>
      <c r="X29" s="55" t="str">
        <f t="shared" si="11"/>
        <v/>
      </c>
      <c r="Y29" s="55" t="str">
        <f t="shared" si="12"/>
        <v/>
      </c>
      <c r="Z29" s="55">
        <f t="shared" si="13"/>
        <v>5.1793103448275479E-3</v>
      </c>
      <c r="AA29" s="55" t="str">
        <f t="shared" si="14"/>
        <v/>
      </c>
      <c r="AB29" s="61"/>
      <c r="AC29" s="62"/>
      <c r="AD29" s="63"/>
      <c r="AE29" s="64"/>
      <c r="AF29" s="64"/>
      <c r="AG29" s="73"/>
      <c r="AH29" s="74"/>
      <c r="AI29" s="75">
        <v>0.99770000000000003</v>
      </c>
      <c r="AJ29" s="75">
        <v>0.97489999999999999</v>
      </c>
      <c r="AK29" s="75">
        <v>0.98199999999999998</v>
      </c>
      <c r="AL29" s="75">
        <v>0.97150000000000003</v>
      </c>
      <c r="AM29" s="75">
        <v>0.95569999999999999</v>
      </c>
      <c r="AN29" s="75">
        <v>0.96679999999999999</v>
      </c>
      <c r="AO29" s="75">
        <v>0.9728</v>
      </c>
      <c r="AP29" s="75">
        <v>0.98089999999999999</v>
      </c>
      <c r="AQ29" s="75">
        <v>0.9798</v>
      </c>
      <c r="AR29" s="75">
        <v>0.97309999999999997</v>
      </c>
      <c r="AS29" s="75">
        <v>0.96989999999999998</v>
      </c>
      <c r="AT29" s="75">
        <v>0.96970000000000001</v>
      </c>
      <c r="AU29" s="75">
        <v>0.96550000000000002</v>
      </c>
      <c r="AV29" s="75">
        <v>0.97089999999999999</v>
      </c>
      <c r="AW29" s="75">
        <v>0.96970000000000001</v>
      </c>
      <c r="AX29" s="75">
        <v>0.97589999999999999</v>
      </c>
      <c r="AY29" s="75">
        <v>0.96540000000000004</v>
      </c>
      <c r="AZ29" s="75">
        <v>0.98409999999999997</v>
      </c>
      <c r="BA29" s="75">
        <v>0.9778</v>
      </c>
      <c r="BB29" s="75">
        <v>0.96699999999999997</v>
      </c>
      <c r="BC29" s="75">
        <v>0.97829999999999995</v>
      </c>
      <c r="BD29" s="75">
        <v>0.9728</v>
      </c>
      <c r="BE29" s="75">
        <v>0.96830000000000005</v>
      </c>
      <c r="BF29" s="75">
        <v>0.98529999999999995</v>
      </c>
      <c r="BG29" s="75">
        <v>0.98280000000000001</v>
      </c>
      <c r="BH29" s="75">
        <v>0.997</v>
      </c>
      <c r="BI29" s="75">
        <v>0.98250000000000004</v>
      </c>
      <c r="BJ29" s="75">
        <v>0.96179999999999999</v>
      </c>
      <c r="BK29" s="75">
        <v>0.96989999999999998</v>
      </c>
      <c r="BL29" s="75"/>
      <c r="BM29" s="75"/>
      <c r="BN29" s="80"/>
      <c r="BO29" s="81"/>
      <c r="BP29" s="82"/>
      <c r="BQ29" s="82"/>
      <c r="BR29" s="82"/>
      <c r="BS29" s="82"/>
      <c r="BT29" s="82"/>
      <c r="BU29" s="82"/>
      <c r="BV29" s="82"/>
      <c r="BW29" s="82"/>
      <c r="BX29" s="82"/>
      <c r="BY29" s="82"/>
      <c r="BZ29" s="82"/>
      <c r="CA29" s="82"/>
      <c r="CB29" s="82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82"/>
      <c r="CP29" s="82"/>
      <c r="CQ29" s="82"/>
      <c r="CR29" s="82"/>
      <c r="CS29" s="82"/>
      <c r="CT29" s="82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2"/>
      <c r="DG29" s="82"/>
      <c r="DH29" s="82"/>
      <c r="DI29" s="82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2"/>
      <c r="DZ29" s="82"/>
      <c r="EA29" s="82"/>
      <c r="EB29" s="82"/>
      <c r="EC29" s="82"/>
      <c r="ED29" s="82"/>
    </row>
    <row r="30" spans="1:134" ht="15" customHeight="1">
      <c r="A30" s="28"/>
      <c r="B30" s="23"/>
      <c r="C30" s="24" t="s">
        <v>102</v>
      </c>
      <c r="D30" s="23" t="s">
        <v>54</v>
      </c>
      <c r="E30" s="23"/>
      <c r="F30" s="25" t="s">
        <v>50</v>
      </c>
      <c r="G30" s="26">
        <v>0.98</v>
      </c>
      <c r="H30" s="27">
        <v>0.15</v>
      </c>
      <c r="I30" s="27">
        <v>-0.15</v>
      </c>
      <c r="J30" s="39" t="s">
        <v>51</v>
      </c>
      <c r="K30" s="40" t="s">
        <v>52</v>
      </c>
      <c r="L30" s="41">
        <f t="shared" si="0"/>
        <v>1.1299999999999999</v>
      </c>
      <c r="M30" s="42">
        <f t="shared" si="1"/>
        <v>0.83</v>
      </c>
      <c r="N30" s="45"/>
      <c r="O30" s="44">
        <f t="shared" si="2"/>
        <v>0.99490000000000001</v>
      </c>
      <c r="P30" s="44">
        <f t="shared" si="3"/>
        <v>0.96419999999999995</v>
      </c>
      <c r="Q30" s="44">
        <f t="shared" si="4"/>
        <v>0.97858275862068944</v>
      </c>
      <c r="R30" s="52">
        <f t="shared" si="5"/>
        <v>1.0213369003611932E-2</v>
      </c>
      <c r="S30" s="53">
        <f t="shared" si="6"/>
        <v>4.8955442599124366</v>
      </c>
      <c r="T30" s="53">
        <f t="shared" si="7"/>
        <v>4.9417987125750615</v>
      </c>
      <c r="U30" s="53">
        <f t="shared" si="8"/>
        <v>4.8492898072498098</v>
      </c>
      <c r="V30" s="53">
        <f t="shared" si="9"/>
        <v>4.8492898072498098</v>
      </c>
      <c r="W30" s="54">
        <f t="shared" si="10"/>
        <v>1</v>
      </c>
      <c r="X30" s="55" t="str">
        <f t="shared" si="11"/>
        <v/>
      </c>
      <c r="Y30" s="55" t="str">
        <f t="shared" si="12"/>
        <v/>
      </c>
      <c r="Z30" s="55">
        <f t="shared" si="13"/>
        <v>1.4172413793105409E-3</v>
      </c>
      <c r="AA30" s="55" t="str">
        <f t="shared" si="14"/>
        <v/>
      </c>
      <c r="AB30" s="61"/>
      <c r="AC30" s="62"/>
      <c r="AD30" s="63"/>
      <c r="AE30" s="64"/>
      <c r="AF30" s="64"/>
      <c r="AG30" s="73"/>
      <c r="AH30" s="74"/>
      <c r="AI30" s="75">
        <v>0.99490000000000001</v>
      </c>
      <c r="AJ30" s="75">
        <v>0.96550000000000002</v>
      </c>
      <c r="AK30" s="75">
        <v>0.99339999999999995</v>
      </c>
      <c r="AL30" s="75">
        <v>0.96419999999999995</v>
      </c>
      <c r="AM30" s="75">
        <v>0.97130000000000005</v>
      </c>
      <c r="AN30" s="75">
        <v>0.98170000000000002</v>
      </c>
      <c r="AO30" s="75">
        <v>0.97540000000000004</v>
      </c>
      <c r="AP30" s="75">
        <v>0.98750000000000004</v>
      </c>
      <c r="AQ30" s="75">
        <v>0.96930000000000005</v>
      </c>
      <c r="AR30" s="75">
        <v>0.96970000000000001</v>
      </c>
      <c r="AS30" s="75">
        <v>0.97109999999999996</v>
      </c>
      <c r="AT30" s="75">
        <v>0.9919</v>
      </c>
      <c r="AU30" s="75">
        <v>0.96599999999999997</v>
      </c>
      <c r="AV30" s="75">
        <v>0.96699999999999997</v>
      </c>
      <c r="AW30" s="75">
        <v>0.99419999999999997</v>
      </c>
      <c r="AX30" s="75">
        <v>0.96809999999999996</v>
      </c>
      <c r="AY30" s="75">
        <v>0.97399999999999998</v>
      </c>
      <c r="AZ30" s="75">
        <v>0.97740000000000005</v>
      </c>
      <c r="BA30" s="75">
        <v>0.9768</v>
      </c>
      <c r="BB30" s="75">
        <v>0.98450000000000004</v>
      </c>
      <c r="BC30" s="75">
        <v>0.98780000000000001</v>
      </c>
      <c r="BD30" s="75">
        <v>0.96909999999999996</v>
      </c>
      <c r="BE30" s="75">
        <v>0.96789999999999998</v>
      </c>
      <c r="BF30" s="75">
        <v>0.98470000000000002</v>
      </c>
      <c r="BG30" s="75">
        <v>0.9899</v>
      </c>
      <c r="BH30" s="75">
        <v>0.99409999999999998</v>
      </c>
      <c r="BI30" s="75">
        <v>0.98670000000000002</v>
      </c>
      <c r="BJ30" s="75">
        <v>0.98160000000000003</v>
      </c>
      <c r="BK30" s="75">
        <v>0.97319999999999995</v>
      </c>
      <c r="BL30" s="75"/>
      <c r="BM30" s="75"/>
      <c r="BN30" s="80"/>
      <c r="BO30" s="81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2"/>
      <c r="DG30" s="82"/>
      <c r="DH30" s="82"/>
      <c r="DI30" s="82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2"/>
      <c r="DZ30" s="82"/>
      <c r="EA30" s="82"/>
      <c r="EB30" s="82"/>
      <c r="EC30" s="82"/>
      <c r="ED30" s="82"/>
    </row>
    <row r="31" spans="1:134" ht="15" customHeight="1">
      <c r="A31" s="22"/>
      <c r="B31" s="23"/>
      <c r="C31" s="24" t="s">
        <v>103</v>
      </c>
      <c r="D31" s="23" t="s">
        <v>54</v>
      </c>
      <c r="E31" s="23"/>
      <c r="F31" s="25" t="s">
        <v>50</v>
      </c>
      <c r="G31" s="26">
        <v>0.98</v>
      </c>
      <c r="H31" s="27">
        <v>0.15</v>
      </c>
      <c r="I31" s="27">
        <v>-0.15</v>
      </c>
      <c r="J31" s="39" t="s">
        <v>51</v>
      </c>
      <c r="K31" s="40" t="s">
        <v>52</v>
      </c>
      <c r="L31" s="41">
        <f t="shared" si="0"/>
        <v>1.1299999999999999</v>
      </c>
      <c r="M31" s="42">
        <f t="shared" si="1"/>
        <v>0.83</v>
      </c>
      <c r="N31" s="45"/>
      <c r="O31" s="44">
        <f t="shared" si="2"/>
        <v>0.999</v>
      </c>
      <c r="P31" s="44">
        <f t="shared" si="3"/>
        <v>0.96840000000000004</v>
      </c>
      <c r="Q31" s="44">
        <f t="shared" si="4"/>
        <v>0.98429655172413799</v>
      </c>
      <c r="R31" s="52">
        <f t="shared" si="5"/>
        <v>9.4981382671485599E-3</v>
      </c>
      <c r="S31" s="53">
        <f t="shared" si="6"/>
        <v>5.2641895278505482</v>
      </c>
      <c r="T31" s="53">
        <f t="shared" si="7"/>
        <v>5.1134037772367078</v>
      </c>
      <c r="U31" s="53">
        <f t="shared" si="8"/>
        <v>5.4149752784643859</v>
      </c>
      <c r="V31" s="53">
        <f t="shared" si="9"/>
        <v>5.1134037772367078</v>
      </c>
      <c r="W31" s="54">
        <f t="shared" si="10"/>
        <v>1</v>
      </c>
      <c r="X31" s="55" t="str">
        <f t="shared" si="11"/>
        <v/>
      </c>
      <c r="Y31" s="55" t="str">
        <f t="shared" si="12"/>
        <v/>
      </c>
      <c r="Z31" s="55">
        <f t="shared" si="13"/>
        <v>-4.2965517241380091E-3</v>
      </c>
      <c r="AA31" s="55" t="str">
        <f t="shared" si="14"/>
        <v/>
      </c>
      <c r="AB31" s="61"/>
      <c r="AC31" s="62"/>
      <c r="AD31" s="63"/>
      <c r="AE31" s="64"/>
      <c r="AF31" s="64"/>
      <c r="AG31" s="73"/>
      <c r="AH31" s="74"/>
      <c r="AI31" s="75">
        <v>0.98309999999999997</v>
      </c>
      <c r="AJ31" s="75">
        <v>0.96940000000000004</v>
      </c>
      <c r="AK31" s="75">
        <v>0.99160000000000004</v>
      </c>
      <c r="AL31" s="75">
        <v>0.97160000000000002</v>
      </c>
      <c r="AM31" s="75">
        <v>0.98419999999999996</v>
      </c>
      <c r="AN31" s="75">
        <v>0.99560000000000004</v>
      </c>
      <c r="AO31" s="75">
        <v>0.98580000000000001</v>
      </c>
      <c r="AP31" s="75">
        <v>0.98740000000000006</v>
      </c>
      <c r="AQ31" s="75">
        <v>0.96850000000000003</v>
      </c>
      <c r="AR31" s="75">
        <v>0.9758</v>
      </c>
      <c r="AS31" s="75">
        <v>0.98819999999999997</v>
      </c>
      <c r="AT31" s="75">
        <v>0.99580000000000002</v>
      </c>
      <c r="AU31" s="75">
        <v>0.97919999999999996</v>
      </c>
      <c r="AV31" s="75">
        <v>0.96930000000000005</v>
      </c>
      <c r="AW31" s="75">
        <v>0.999</v>
      </c>
      <c r="AX31" s="75">
        <v>0.96840000000000004</v>
      </c>
      <c r="AY31" s="75">
        <v>0.99229999999999996</v>
      </c>
      <c r="AZ31" s="75">
        <v>0.98450000000000004</v>
      </c>
      <c r="BA31" s="75">
        <v>0.98029999999999995</v>
      </c>
      <c r="BB31" s="75">
        <v>0.99709999999999999</v>
      </c>
      <c r="BC31" s="75">
        <v>0.99219999999999997</v>
      </c>
      <c r="BD31" s="75">
        <v>0.97099999999999997</v>
      </c>
      <c r="BE31" s="75">
        <v>0.9768</v>
      </c>
      <c r="BF31" s="75">
        <v>0.98970000000000002</v>
      </c>
      <c r="BG31" s="75">
        <v>0.99299999999999999</v>
      </c>
      <c r="BH31" s="75">
        <v>0.98870000000000002</v>
      </c>
      <c r="BI31" s="75">
        <v>0.98750000000000004</v>
      </c>
      <c r="BJ31" s="75">
        <v>0.99350000000000005</v>
      </c>
      <c r="BK31" s="75">
        <v>0.98509999999999998</v>
      </c>
      <c r="BL31" s="75"/>
      <c r="BM31" s="75"/>
      <c r="BN31" s="80"/>
      <c r="BO31" s="81"/>
      <c r="BP31" s="82"/>
      <c r="BQ31" s="82"/>
      <c r="BR31" s="82"/>
      <c r="BS31" s="82"/>
      <c r="BT31" s="82"/>
      <c r="BU31" s="82"/>
      <c r="BV31" s="82"/>
      <c r="BW31" s="82"/>
      <c r="BX31" s="82"/>
      <c r="BY31" s="82"/>
      <c r="BZ31" s="82"/>
      <c r="CA31" s="82"/>
      <c r="CB31" s="82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82"/>
      <c r="CP31" s="82"/>
      <c r="CQ31" s="82"/>
      <c r="CR31" s="82"/>
      <c r="CS31" s="82"/>
      <c r="CT31" s="82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2"/>
      <c r="DG31" s="82"/>
      <c r="DH31" s="82"/>
      <c r="DI31" s="82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2"/>
      <c r="DZ31" s="82"/>
      <c r="EA31" s="82"/>
      <c r="EB31" s="82"/>
      <c r="EC31" s="82"/>
      <c r="ED31" s="82"/>
    </row>
    <row r="32" spans="1:134" ht="15" customHeight="1">
      <c r="A32" s="22"/>
      <c r="B32" s="23"/>
      <c r="C32" s="24" t="s">
        <v>104</v>
      </c>
      <c r="D32" s="23" t="s">
        <v>54</v>
      </c>
      <c r="E32" s="23"/>
      <c r="F32" s="25" t="s">
        <v>50</v>
      </c>
      <c r="G32" s="26">
        <v>0.98</v>
      </c>
      <c r="H32" s="27">
        <v>0.15</v>
      </c>
      <c r="I32" s="27">
        <v>-0.15</v>
      </c>
      <c r="J32" s="39" t="s">
        <v>51</v>
      </c>
      <c r="K32" s="40" t="s">
        <v>52</v>
      </c>
      <c r="L32" s="41">
        <f t="shared" si="0"/>
        <v>1.1299999999999999</v>
      </c>
      <c r="M32" s="42">
        <f t="shared" si="1"/>
        <v>0.83</v>
      </c>
      <c r="N32" s="45"/>
      <c r="O32" s="44">
        <f t="shared" si="2"/>
        <v>0.98880000000000001</v>
      </c>
      <c r="P32" s="44">
        <f t="shared" si="3"/>
        <v>0.9677</v>
      </c>
      <c r="Q32" s="44">
        <f t="shared" si="4"/>
        <v>0.98004827586206889</v>
      </c>
      <c r="R32" s="52">
        <f t="shared" si="5"/>
        <v>5.9648746058940244E-3</v>
      </c>
      <c r="S32" s="53">
        <f t="shared" si="6"/>
        <v>8.38240588504474</v>
      </c>
      <c r="T32" s="53">
        <f t="shared" si="7"/>
        <v>8.3797080992426558</v>
      </c>
      <c r="U32" s="53">
        <f t="shared" si="8"/>
        <v>8.3851036708468225</v>
      </c>
      <c r="V32" s="53">
        <f t="shared" si="9"/>
        <v>8.3797080992426558</v>
      </c>
      <c r="W32" s="54">
        <f t="shared" si="10"/>
        <v>1</v>
      </c>
      <c r="X32" s="55" t="str">
        <f t="shared" si="11"/>
        <v/>
      </c>
      <c r="Y32" s="55" t="str">
        <f t="shared" si="12"/>
        <v/>
      </c>
      <c r="Z32" s="55">
        <f t="shared" si="13"/>
        <v>-4.8275862068902775E-5</v>
      </c>
      <c r="AA32" s="55" t="str">
        <f t="shared" si="14"/>
        <v/>
      </c>
      <c r="AB32" s="61"/>
      <c r="AC32" s="62"/>
      <c r="AD32" s="63"/>
      <c r="AE32" s="64"/>
      <c r="AF32" s="64"/>
      <c r="AG32" s="73"/>
      <c r="AH32" s="74"/>
      <c r="AI32" s="75">
        <v>0.97219999999999995</v>
      </c>
      <c r="AJ32" s="75">
        <v>0.97019999999999995</v>
      </c>
      <c r="AK32" s="75">
        <v>0.9839</v>
      </c>
      <c r="AL32" s="75">
        <v>0.97450000000000003</v>
      </c>
      <c r="AM32" s="75">
        <v>0.98619999999999997</v>
      </c>
      <c r="AN32" s="75">
        <v>0.98719999999999997</v>
      </c>
      <c r="AO32" s="75">
        <v>0.98199999999999998</v>
      </c>
      <c r="AP32" s="75">
        <v>0.97970000000000002</v>
      </c>
      <c r="AQ32" s="75">
        <v>0.97089999999999999</v>
      </c>
      <c r="AR32" s="75">
        <v>0.97829999999999995</v>
      </c>
      <c r="AS32" s="75">
        <v>0.98119999999999996</v>
      </c>
      <c r="AT32" s="75">
        <v>0.98399999999999999</v>
      </c>
      <c r="AU32" s="75">
        <v>0.97629999999999995</v>
      </c>
      <c r="AV32" s="75">
        <v>0.9677</v>
      </c>
      <c r="AW32" s="75">
        <v>0.98680000000000001</v>
      </c>
      <c r="AX32" s="75">
        <v>0.97199999999999998</v>
      </c>
      <c r="AY32" s="75">
        <v>0.98880000000000001</v>
      </c>
      <c r="AZ32" s="75">
        <v>0.98299999999999998</v>
      </c>
      <c r="BA32" s="75">
        <v>0.97850000000000004</v>
      </c>
      <c r="BB32" s="75">
        <v>0.98709999999999998</v>
      </c>
      <c r="BC32" s="75">
        <v>0.98199999999999998</v>
      </c>
      <c r="BD32" s="75">
        <v>0.97150000000000003</v>
      </c>
      <c r="BE32" s="75">
        <v>0.98029999999999995</v>
      </c>
      <c r="BF32" s="75">
        <v>0.98529999999999995</v>
      </c>
      <c r="BG32" s="75">
        <v>0.98299999999999998</v>
      </c>
      <c r="BH32" s="75">
        <v>0.97929999999999995</v>
      </c>
      <c r="BI32" s="75">
        <v>0.9798</v>
      </c>
      <c r="BJ32" s="75">
        <v>0.98809999999999998</v>
      </c>
      <c r="BK32" s="75">
        <v>0.98160000000000003</v>
      </c>
      <c r="BL32" s="75"/>
      <c r="BM32" s="75"/>
      <c r="BN32" s="80"/>
      <c r="BO32" s="81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2"/>
      <c r="DG32" s="82"/>
      <c r="DH32" s="82"/>
      <c r="DI32" s="82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2"/>
      <c r="DZ32" s="82"/>
      <c r="EA32" s="82"/>
      <c r="EB32" s="82"/>
      <c r="EC32" s="82"/>
      <c r="ED32" s="82"/>
    </row>
    <row r="33" spans="1:134" ht="15" customHeight="1">
      <c r="A33" s="22"/>
      <c r="B33" s="23"/>
      <c r="C33" s="24" t="s">
        <v>105</v>
      </c>
      <c r="D33" s="23" t="s">
        <v>54</v>
      </c>
      <c r="E33" s="23"/>
      <c r="F33" s="25" t="s">
        <v>50</v>
      </c>
      <c r="G33" s="26">
        <v>0.98</v>
      </c>
      <c r="H33" s="27">
        <v>0.15</v>
      </c>
      <c r="I33" s="27">
        <v>-0.15</v>
      </c>
      <c r="J33" s="39" t="s">
        <v>51</v>
      </c>
      <c r="K33" s="40" t="s">
        <v>52</v>
      </c>
      <c r="L33" s="41">
        <f t="shared" si="0"/>
        <v>1.1299999999999999</v>
      </c>
      <c r="M33" s="42">
        <f t="shared" si="1"/>
        <v>0.83</v>
      </c>
      <c r="N33" s="45"/>
      <c r="O33" s="44">
        <f t="shared" si="2"/>
        <v>0.99260000000000004</v>
      </c>
      <c r="P33" s="44">
        <f t="shared" si="3"/>
        <v>0.96460000000000001</v>
      </c>
      <c r="Q33" s="44">
        <f t="shared" si="4"/>
        <v>0.97945517241379298</v>
      </c>
      <c r="R33" s="52">
        <f t="shared" si="5"/>
        <v>7.4752728668255079E-3</v>
      </c>
      <c r="S33" s="53">
        <f t="shared" si="6"/>
        <v>6.6887190462163408</v>
      </c>
      <c r="T33" s="53">
        <f t="shared" si="7"/>
        <v>6.7130137039014492</v>
      </c>
      <c r="U33" s="53">
        <f t="shared" si="8"/>
        <v>6.6644243885312298</v>
      </c>
      <c r="V33" s="53">
        <f t="shared" si="9"/>
        <v>6.6644243885312298</v>
      </c>
      <c r="W33" s="54">
        <f t="shared" si="10"/>
        <v>1</v>
      </c>
      <c r="X33" s="55" t="str">
        <f t="shared" si="11"/>
        <v/>
      </c>
      <c r="Y33" s="55" t="str">
        <f t="shared" si="12"/>
        <v/>
      </c>
      <c r="Z33" s="55">
        <f t="shared" si="13"/>
        <v>5.4482758620699734E-4</v>
      </c>
      <c r="AA33" s="55" t="str">
        <f t="shared" si="14"/>
        <v/>
      </c>
      <c r="AB33" s="61"/>
      <c r="AC33" s="62"/>
      <c r="AD33" s="63"/>
      <c r="AE33" s="64"/>
      <c r="AF33" s="64"/>
      <c r="AG33" s="73"/>
      <c r="AH33" s="74"/>
      <c r="AI33" s="75">
        <v>0.98109999999999997</v>
      </c>
      <c r="AJ33" s="75">
        <v>0.98460000000000003</v>
      </c>
      <c r="AK33" s="75">
        <v>0.98040000000000005</v>
      </c>
      <c r="AL33" s="75">
        <v>0.9839</v>
      </c>
      <c r="AM33" s="75">
        <v>0.9758</v>
      </c>
      <c r="AN33" s="75">
        <v>0.96989999999999998</v>
      </c>
      <c r="AO33" s="75">
        <v>0.97940000000000005</v>
      </c>
      <c r="AP33" s="75">
        <v>0.97160000000000002</v>
      </c>
      <c r="AQ33" s="75">
        <v>0.98729999999999996</v>
      </c>
      <c r="AR33" s="75">
        <v>0.98629999999999995</v>
      </c>
      <c r="AS33" s="75">
        <v>0.97689999999999999</v>
      </c>
      <c r="AT33" s="75">
        <v>0.97019999999999995</v>
      </c>
      <c r="AU33" s="75">
        <v>0.98070000000000002</v>
      </c>
      <c r="AV33" s="75">
        <v>0.99260000000000004</v>
      </c>
      <c r="AW33" s="75">
        <v>0.96689999999999998</v>
      </c>
      <c r="AX33" s="75">
        <v>0.99109999999999998</v>
      </c>
      <c r="AY33" s="75">
        <v>0.97899999999999998</v>
      </c>
      <c r="AZ33" s="75">
        <v>0.98509999999999998</v>
      </c>
      <c r="BA33" s="75">
        <v>0.98560000000000003</v>
      </c>
      <c r="BB33" s="75">
        <v>0.96719999999999995</v>
      </c>
      <c r="BC33" s="75">
        <v>0.97119999999999995</v>
      </c>
      <c r="BD33" s="75">
        <v>0.9829</v>
      </c>
      <c r="BE33" s="75">
        <v>0.98509999999999998</v>
      </c>
      <c r="BF33" s="75">
        <v>0.9869</v>
      </c>
      <c r="BG33" s="75">
        <v>0.97770000000000001</v>
      </c>
      <c r="BH33" s="75">
        <v>0.98080000000000001</v>
      </c>
      <c r="BI33" s="75">
        <v>0.97389999999999999</v>
      </c>
      <c r="BJ33" s="75">
        <v>0.96460000000000001</v>
      </c>
      <c r="BK33" s="75">
        <v>0.98550000000000004</v>
      </c>
      <c r="BL33" s="75"/>
      <c r="BM33" s="75"/>
      <c r="BN33" s="80"/>
      <c r="BO33" s="81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2"/>
      <c r="DG33" s="82"/>
      <c r="DH33" s="82"/>
      <c r="DI33" s="82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2"/>
      <c r="DZ33" s="82"/>
      <c r="EA33" s="82"/>
      <c r="EB33" s="82"/>
      <c r="EC33" s="82"/>
      <c r="ED33" s="82"/>
    </row>
    <row r="34" spans="1:134" ht="15" customHeight="1">
      <c r="A34" s="22"/>
      <c r="B34" s="23"/>
      <c r="C34" s="24" t="s">
        <v>106</v>
      </c>
      <c r="D34" s="23" t="s">
        <v>54</v>
      </c>
      <c r="E34" s="23"/>
      <c r="F34" s="25" t="s">
        <v>50</v>
      </c>
      <c r="G34" s="26">
        <v>0.98</v>
      </c>
      <c r="H34" s="27">
        <v>0.15</v>
      </c>
      <c r="I34" s="27">
        <v>-0.15</v>
      </c>
      <c r="J34" s="39" t="s">
        <v>51</v>
      </c>
      <c r="K34" s="40" t="s">
        <v>52</v>
      </c>
      <c r="L34" s="41">
        <f t="shared" si="0"/>
        <v>1.1299999999999999</v>
      </c>
      <c r="M34" s="42">
        <f t="shared" si="1"/>
        <v>0.83</v>
      </c>
      <c r="N34" s="45"/>
      <c r="O34" s="44">
        <f t="shared" si="2"/>
        <v>0.99809999999999999</v>
      </c>
      <c r="P34" s="44">
        <f t="shared" si="3"/>
        <v>0.95840000000000003</v>
      </c>
      <c r="Q34" s="44">
        <f t="shared" si="4"/>
        <v>0.98374482758620707</v>
      </c>
      <c r="R34" s="52">
        <f t="shared" si="5"/>
        <v>1.217830583475904E-2</v>
      </c>
      <c r="S34" s="53">
        <f t="shared" si="6"/>
        <v>4.105661384959733</v>
      </c>
      <c r="T34" s="53">
        <f t="shared" si="7"/>
        <v>4.0031614248662484</v>
      </c>
      <c r="U34" s="53">
        <f t="shared" si="8"/>
        <v>4.2081613450532167</v>
      </c>
      <c r="V34" s="53">
        <f t="shared" si="9"/>
        <v>4.0031614248662484</v>
      </c>
      <c r="W34" s="54">
        <f t="shared" si="10"/>
        <v>1</v>
      </c>
      <c r="X34" s="55" t="str">
        <f t="shared" si="11"/>
        <v/>
      </c>
      <c r="Y34" s="55" t="str">
        <f t="shared" si="12"/>
        <v/>
      </c>
      <c r="Z34" s="55">
        <f t="shared" si="13"/>
        <v>-3.744827586207089E-3</v>
      </c>
      <c r="AA34" s="55" t="str">
        <f t="shared" si="14"/>
        <v/>
      </c>
      <c r="AB34" s="61"/>
      <c r="AC34" s="62"/>
      <c r="AD34" s="63"/>
      <c r="AE34" s="64"/>
      <c r="AF34" s="64"/>
      <c r="AG34" s="73"/>
      <c r="AH34" s="74"/>
      <c r="AI34" s="75">
        <v>0.99429999999999996</v>
      </c>
      <c r="AJ34" s="75">
        <v>0.9909</v>
      </c>
      <c r="AK34" s="75">
        <v>0.98299999999999998</v>
      </c>
      <c r="AL34" s="75">
        <v>0.98970000000000002</v>
      </c>
      <c r="AM34" s="75">
        <v>0.96909999999999996</v>
      </c>
      <c r="AN34" s="75">
        <v>0.97140000000000004</v>
      </c>
      <c r="AO34" s="75">
        <v>0.98629999999999995</v>
      </c>
      <c r="AP34" s="75">
        <v>0.97640000000000005</v>
      </c>
      <c r="AQ34" s="75">
        <v>0.99750000000000005</v>
      </c>
      <c r="AR34" s="75">
        <v>0.99350000000000005</v>
      </c>
      <c r="AS34" s="75">
        <v>0.98270000000000002</v>
      </c>
      <c r="AT34" s="75">
        <v>0.96350000000000002</v>
      </c>
      <c r="AU34" s="75">
        <v>0.98880000000000001</v>
      </c>
      <c r="AV34" s="75">
        <v>0.99809999999999999</v>
      </c>
      <c r="AW34" s="75">
        <v>0.95840000000000003</v>
      </c>
      <c r="AX34" s="75">
        <v>0.99770000000000003</v>
      </c>
      <c r="AY34" s="75">
        <v>0.98440000000000005</v>
      </c>
      <c r="AZ34" s="75">
        <v>0.99039999999999995</v>
      </c>
      <c r="BA34" s="75">
        <v>0.99239999999999995</v>
      </c>
      <c r="BB34" s="75">
        <v>0.96120000000000005</v>
      </c>
      <c r="BC34" s="75">
        <v>0.97399999999999998</v>
      </c>
      <c r="BD34" s="75">
        <v>0.99229999999999996</v>
      </c>
      <c r="BE34" s="75">
        <v>0.98519999999999996</v>
      </c>
      <c r="BF34" s="75">
        <v>0.99470000000000003</v>
      </c>
      <c r="BG34" s="75">
        <v>0.9889</v>
      </c>
      <c r="BH34" s="75">
        <v>0.99660000000000004</v>
      </c>
      <c r="BI34" s="75">
        <v>0.97929999999999995</v>
      </c>
      <c r="BJ34" s="75">
        <v>0.95909999999999995</v>
      </c>
      <c r="BK34" s="75">
        <v>0.98880000000000001</v>
      </c>
      <c r="BL34" s="75"/>
      <c r="BM34" s="75"/>
      <c r="BN34" s="80"/>
      <c r="BO34" s="81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  <c r="CW34" s="82"/>
      <c r="CX34" s="82"/>
      <c r="CY34" s="82"/>
      <c r="CZ34" s="82"/>
      <c r="DA34" s="82"/>
      <c r="DB34" s="82"/>
      <c r="DC34" s="82"/>
      <c r="DD34" s="82"/>
      <c r="DE34" s="82"/>
      <c r="DF34" s="82"/>
      <c r="DG34" s="82"/>
      <c r="DH34" s="82"/>
      <c r="DI34" s="82"/>
      <c r="DJ34" s="82"/>
      <c r="DK34" s="82"/>
      <c r="DL34" s="82"/>
      <c r="DM34" s="82"/>
      <c r="DN34" s="82"/>
      <c r="DO34" s="82"/>
      <c r="DP34" s="82"/>
      <c r="DQ34" s="82"/>
      <c r="DR34" s="82"/>
      <c r="DS34" s="82"/>
      <c r="DT34" s="82"/>
      <c r="DU34" s="82"/>
      <c r="DV34" s="82"/>
      <c r="DW34" s="82"/>
      <c r="DX34" s="82"/>
      <c r="DY34" s="82"/>
      <c r="DZ34" s="82"/>
      <c r="EA34" s="82"/>
      <c r="EB34" s="82"/>
      <c r="EC34" s="82"/>
      <c r="ED34" s="82"/>
    </row>
    <row r="35" spans="1:134" ht="15" customHeight="1">
      <c r="A35" s="22"/>
      <c r="B35" s="23" t="s">
        <v>49</v>
      </c>
      <c r="C35" s="24" t="s">
        <v>107</v>
      </c>
      <c r="D35" s="23"/>
      <c r="E35" s="23">
        <v>1.33</v>
      </c>
      <c r="F35" s="25" t="s">
        <v>50</v>
      </c>
      <c r="G35" s="26">
        <v>0.27</v>
      </c>
      <c r="H35" s="27">
        <v>0.03</v>
      </c>
      <c r="I35" s="27">
        <v>-0.03</v>
      </c>
      <c r="J35" s="39" t="s">
        <v>51</v>
      </c>
      <c r="K35" s="40" t="s">
        <v>52</v>
      </c>
      <c r="L35" s="41">
        <f t="shared" si="0"/>
        <v>0.30000000000000004</v>
      </c>
      <c r="M35" s="42">
        <f t="shared" si="1"/>
        <v>0.24000000000000002</v>
      </c>
      <c r="N35" s="43"/>
      <c r="O35" s="44">
        <f t="shared" si="2"/>
        <v>0.27860000000000001</v>
      </c>
      <c r="P35" s="44">
        <f t="shared" si="3"/>
        <v>0.2631</v>
      </c>
      <c r="Q35" s="44">
        <f t="shared" si="4"/>
        <v>0.2714896551724138</v>
      </c>
      <c r="R35" s="52">
        <f t="shared" si="5"/>
        <v>3.711501893495236E-3</v>
      </c>
      <c r="S35" s="53">
        <f t="shared" si="6"/>
        <v>2.6943270640723531</v>
      </c>
      <c r="T35" s="53">
        <f t="shared" si="7"/>
        <v>2.560539789166695</v>
      </c>
      <c r="U35" s="53">
        <f t="shared" si="8"/>
        <v>2.8281143389780139</v>
      </c>
      <c r="V35" s="53">
        <f t="shared" si="9"/>
        <v>2.560539789166695</v>
      </c>
      <c r="W35" s="54">
        <f t="shared" si="10"/>
        <v>0.99999999999999201</v>
      </c>
      <c r="X35" s="55" t="str">
        <f t="shared" si="11"/>
        <v/>
      </c>
      <c r="Y35" s="55" t="str">
        <f t="shared" si="12"/>
        <v/>
      </c>
      <c r="Z35" s="55">
        <f t="shared" si="13"/>
        <v>-1.4896551724137841E-3</v>
      </c>
      <c r="AA35" s="55" t="str">
        <f t="shared" si="14"/>
        <v/>
      </c>
      <c r="AB35" s="61"/>
      <c r="AC35" s="62"/>
      <c r="AD35" s="63"/>
      <c r="AE35" s="64"/>
      <c r="AF35" s="64"/>
      <c r="AG35" s="73"/>
      <c r="AH35" s="74"/>
      <c r="AI35" s="75">
        <v>0.2631</v>
      </c>
      <c r="AJ35" s="75">
        <v>0.27339999999999998</v>
      </c>
      <c r="AK35" s="75">
        <v>0.26579999999999998</v>
      </c>
      <c r="AL35" s="75">
        <v>0.27450000000000002</v>
      </c>
      <c r="AM35" s="75">
        <v>0.27860000000000001</v>
      </c>
      <c r="AN35" s="75">
        <v>0.2717</v>
      </c>
      <c r="AO35" s="75">
        <v>0.2702</v>
      </c>
      <c r="AP35" s="75">
        <v>0.27010000000000001</v>
      </c>
      <c r="AQ35" s="75">
        <v>0.27200000000000002</v>
      </c>
      <c r="AR35" s="75">
        <v>0.27160000000000001</v>
      </c>
      <c r="AS35" s="75">
        <v>0.27189999999999998</v>
      </c>
      <c r="AT35" s="75">
        <v>0.27160000000000001</v>
      </c>
      <c r="AU35" s="75">
        <v>0.27500000000000002</v>
      </c>
      <c r="AV35" s="75">
        <v>0.27279999999999999</v>
      </c>
      <c r="AW35" s="75">
        <v>0.2727</v>
      </c>
      <c r="AX35" s="75">
        <v>0.27360000000000001</v>
      </c>
      <c r="AY35" s="75">
        <v>0.2727</v>
      </c>
      <c r="AZ35" s="75">
        <v>0.26900000000000002</v>
      </c>
      <c r="BA35" s="75">
        <v>0.27039999999999997</v>
      </c>
      <c r="BB35" s="75">
        <v>0.27489999999999998</v>
      </c>
      <c r="BC35" s="75">
        <v>0.27189999999999998</v>
      </c>
      <c r="BD35" s="75">
        <v>0.27529999999999999</v>
      </c>
      <c r="BE35" s="75">
        <v>0.27529999999999999</v>
      </c>
      <c r="BF35" s="75">
        <v>0.26469999999999999</v>
      </c>
      <c r="BG35" s="75">
        <v>0.26700000000000002</v>
      </c>
      <c r="BH35" s="75">
        <v>0.26519999999999999</v>
      </c>
      <c r="BI35" s="75">
        <v>0.26900000000000002</v>
      </c>
      <c r="BJ35" s="75">
        <v>0.27729999999999999</v>
      </c>
      <c r="BK35" s="75">
        <v>0.27189999999999998</v>
      </c>
      <c r="BL35" s="75"/>
      <c r="BM35" s="75"/>
      <c r="BN35" s="80"/>
      <c r="BO35" s="81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2"/>
      <c r="DG35" s="82"/>
      <c r="DH35" s="82"/>
      <c r="DI35" s="82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2"/>
      <c r="DZ35" s="82"/>
      <c r="EA35" s="82"/>
      <c r="EB35" s="82"/>
      <c r="EC35" s="82"/>
      <c r="ED35" s="82"/>
    </row>
    <row r="36" spans="1:134" ht="15" customHeight="1">
      <c r="A36" s="22"/>
      <c r="B36" s="23" t="s">
        <v>49</v>
      </c>
      <c r="C36" s="24" t="s">
        <v>108</v>
      </c>
      <c r="D36" s="23"/>
      <c r="E36" s="23">
        <v>1.33</v>
      </c>
      <c r="F36" s="25" t="s">
        <v>50</v>
      </c>
      <c r="G36" s="26">
        <v>1.7549999999999999</v>
      </c>
      <c r="H36" s="27">
        <v>0.03</v>
      </c>
      <c r="I36" s="27">
        <v>-0.1</v>
      </c>
      <c r="J36" s="39" t="s">
        <v>51</v>
      </c>
      <c r="K36" s="40" t="s">
        <v>52</v>
      </c>
      <c r="L36" s="41">
        <f t="shared" si="0"/>
        <v>1.7849999999999999</v>
      </c>
      <c r="M36" s="42">
        <f t="shared" si="1"/>
        <v>1.6549999999999998</v>
      </c>
      <c r="N36" s="45"/>
      <c r="O36" s="44">
        <f t="shared" si="2"/>
        <v>1.7202999999999999</v>
      </c>
      <c r="P36" s="44">
        <f t="shared" si="3"/>
        <v>1.7107000000000001</v>
      </c>
      <c r="Q36" s="44">
        <f t="shared" si="4"/>
        <v>1.7159931034482754</v>
      </c>
      <c r="R36" s="52">
        <f t="shared" si="5"/>
        <v>2.3289990238731266E-3</v>
      </c>
      <c r="S36" s="53">
        <f t="shared" si="6"/>
        <v>9.3029951685574304</v>
      </c>
      <c r="T36" s="53">
        <f t="shared" si="7"/>
        <v>9.8764742341205505</v>
      </c>
      <c r="U36" s="53">
        <f t="shared" si="8"/>
        <v>8.7295161029943262</v>
      </c>
      <c r="V36" s="53">
        <f t="shared" si="9"/>
        <v>8.7295161029943262</v>
      </c>
      <c r="W36" s="54">
        <f t="shared" si="10"/>
        <v>1</v>
      </c>
      <c r="X36" s="55" t="str">
        <f t="shared" si="11"/>
        <v/>
      </c>
      <c r="Y36" s="55" t="str">
        <f t="shared" si="12"/>
        <v/>
      </c>
      <c r="Z36" s="55">
        <f t="shared" si="13"/>
        <v>4.0068965517243704E-3</v>
      </c>
      <c r="AA36" s="55" t="str">
        <f t="shared" si="14"/>
        <v/>
      </c>
      <c r="AB36" s="61"/>
      <c r="AC36" s="62"/>
      <c r="AD36" s="63"/>
      <c r="AE36" s="64"/>
      <c r="AF36" s="64"/>
      <c r="AG36" s="73"/>
      <c r="AH36" s="74"/>
      <c r="AI36" s="75">
        <v>1.7197</v>
      </c>
      <c r="AJ36" s="75">
        <v>1.7124999999999999</v>
      </c>
      <c r="AK36" s="75">
        <v>1.7122000000000002</v>
      </c>
      <c r="AL36" s="75">
        <v>1.716</v>
      </c>
      <c r="AM36" s="75">
        <v>1.7185000000000001</v>
      </c>
      <c r="AN36" s="75">
        <v>1.7187000000000001</v>
      </c>
      <c r="AO36" s="75">
        <v>1.7141</v>
      </c>
      <c r="AP36" s="75">
        <v>1.7107000000000001</v>
      </c>
      <c r="AQ36" s="75">
        <v>1.7143999999999999</v>
      </c>
      <c r="AR36" s="75">
        <v>1.714</v>
      </c>
      <c r="AS36" s="75">
        <v>1.7139</v>
      </c>
      <c r="AT36" s="75">
        <v>1.714</v>
      </c>
      <c r="AU36" s="75">
        <v>1.7165999999999999</v>
      </c>
      <c r="AV36" s="75">
        <v>1.7141999999999999</v>
      </c>
      <c r="AW36" s="75">
        <v>1.7202999999999999</v>
      </c>
      <c r="AX36" s="75">
        <v>1.7179000000000002</v>
      </c>
      <c r="AY36" s="75">
        <v>1.7162000000000002</v>
      </c>
      <c r="AZ36" s="75">
        <v>1.7166999999999999</v>
      </c>
      <c r="BA36" s="75">
        <v>1.7141999999999999</v>
      </c>
      <c r="BB36" s="75">
        <v>1.7178</v>
      </c>
      <c r="BC36" s="75">
        <v>1.7149000000000001</v>
      </c>
      <c r="BD36" s="75">
        <v>1.7178</v>
      </c>
      <c r="BE36" s="75">
        <v>1.7179</v>
      </c>
      <c r="BF36" s="75">
        <v>1.7166999999999999</v>
      </c>
      <c r="BG36" s="75">
        <v>1.7149000000000001</v>
      </c>
      <c r="BH36" s="75">
        <v>1.718</v>
      </c>
      <c r="BI36" s="75">
        <v>1.7159</v>
      </c>
      <c r="BJ36" s="75">
        <v>1.7175</v>
      </c>
      <c r="BK36" s="75">
        <v>1.7176</v>
      </c>
      <c r="BL36" s="75"/>
      <c r="BM36" s="75"/>
      <c r="BN36" s="80"/>
      <c r="BO36" s="81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2"/>
      <c r="DG36" s="82"/>
      <c r="DH36" s="82"/>
      <c r="DI36" s="82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2"/>
      <c r="DZ36" s="82"/>
      <c r="EA36" s="82"/>
      <c r="EB36" s="82"/>
      <c r="EC36" s="82"/>
      <c r="ED36" s="82"/>
    </row>
    <row r="37" spans="1:134" ht="15" customHeight="1">
      <c r="A37" s="22"/>
      <c r="B37" s="23" t="s">
        <v>49</v>
      </c>
      <c r="C37" s="24" t="s">
        <v>109</v>
      </c>
      <c r="D37" s="23"/>
      <c r="E37" s="23">
        <v>1.33</v>
      </c>
      <c r="F37" s="25" t="s">
        <v>53</v>
      </c>
      <c r="G37" s="26"/>
      <c r="H37" s="27">
        <v>3.5000000000000003E-2</v>
      </c>
      <c r="I37" s="27"/>
      <c r="J37" s="39" t="s">
        <v>51</v>
      </c>
      <c r="K37" s="40" t="s">
        <v>52</v>
      </c>
      <c r="L37" s="41">
        <f t="shared" si="0"/>
        <v>3.5000000000000003E-2</v>
      </c>
      <c r="M37" s="42" t="str">
        <f t="shared" si="1"/>
        <v/>
      </c>
      <c r="N37" s="46"/>
      <c r="O37" s="44">
        <f t="shared" si="2"/>
        <v>5.8599999999999999E-2</v>
      </c>
      <c r="P37" s="44">
        <f t="shared" si="3"/>
        <v>3.8800000000000001E-2</v>
      </c>
      <c r="Q37" s="44">
        <f t="shared" si="4"/>
        <v>4.886551724137931E-2</v>
      </c>
      <c r="R37" s="52">
        <f t="shared" si="5"/>
        <v>5.0095819516252308E-3</v>
      </c>
      <c r="S37" s="53">
        <f t="shared" si="6"/>
        <v>-0.92259975484787338</v>
      </c>
      <c r="T37" s="53">
        <f t="shared" si="7"/>
        <v>-0.92259975484787338</v>
      </c>
      <c r="U37" s="53" t="str">
        <f t="shared" si="8"/>
        <v/>
      </c>
      <c r="V37" s="53">
        <f t="shared" si="9"/>
        <v>-0.92259975484787338</v>
      </c>
      <c r="W37" s="54">
        <f t="shared" si="10"/>
        <v>2.8218102277084681E-3</v>
      </c>
      <c r="X37" s="55">
        <f t="shared" si="11"/>
        <v>6.8853749228363986E-2</v>
      </c>
      <c r="Y37" s="55" t="str">
        <f t="shared" si="12"/>
        <v/>
      </c>
      <c r="Z37" s="55" t="str">
        <f t="shared" si="13"/>
        <v/>
      </c>
      <c r="AA37" s="55">
        <f t="shared" si="14"/>
        <v>4.5086237564627075E-2</v>
      </c>
      <c r="AB37" s="61"/>
      <c r="AC37" s="62"/>
      <c r="AD37" s="63"/>
      <c r="AE37" s="64"/>
      <c r="AF37" s="64"/>
      <c r="AG37" s="73"/>
      <c r="AH37" s="76"/>
      <c r="AI37" s="75">
        <v>3.9800000000000002E-2</v>
      </c>
      <c r="AJ37" s="75">
        <v>4.9599999999999998E-2</v>
      </c>
      <c r="AK37" s="75">
        <v>5.28E-2</v>
      </c>
      <c r="AL37" s="75">
        <v>5.1200000000000002E-2</v>
      </c>
      <c r="AM37" s="75">
        <v>5.6599999999999998E-2</v>
      </c>
      <c r="AN37" s="75">
        <v>4.5699999999999998E-2</v>
      </c>
      <c r="AO37" s="75">
        <v>5.6099999999999997E-2</v>
      </c>
      <c r="AP37" s="75">
        <v>5.0500000000000003E-2</v>
      </c>
      <c r="AQ37" s="75">
        <v>5.1799999999999999E-2</v>
      </c>
      <c r="AR37" s="75">
        <v>5.8599999999999999E-2</v>
      </c>
      <c r="AS37" s="75">
        <v>3.8800000000000001E-2</v>
      </c>
      <c r="AT37" s="75">
        <v>5.7700000000000001E-2</v>
      </c>
      <c r="AU37" s="75">
        <v>5.33E-2</v>
      </c>
      <c r="AV37" s="75">
        <v>5.0500000000000003E-2</v>
      </c>
      <c r="AW37" s="75">
        <v>5.21E-2</v>
      </c>
      <c r="AX37" s="75">
        <v>4.8599999999999997E-2</v>
      </c>
      <c r="AY37" s="75">
        <v>4.99E-2</v>
      </c>
      <c r="AZ37" s="75">
        <v>4.9000000000000002E-2</v>
      </c>
      <c r="BA37" s="75">
        <v>4.9799999999999997E-2</v>
      </c>
      <c r="BB37" s="75">
        <v>4.8899999999999999E-2</v>
      </c>
      <c r="BC37" s="75">
        <v>4.48E-2</v>
      </c>
      <c r="BD37" s="75">
        <v>4.36E-2</v>
      </c>
      <c r="BE37" s="75">
        <v>4.8099999999999997E-2</v>
      </c>
      <c r="BF37" s="75">
        <v>4.5999999999999999E-2</v>
      </c>
      <c r="BG37" s="75">
        <v>4.4600000000000001E-2</v>
      </c>
      <c r="BH37" s="75">
        <v>4.2500000000000003E-2</v>
      </c>
      <c r="BI37" s="75">
        <v>4.6899999999999997E-2</v>
      </c>
      <c r="BJ37" s="75">
        <v>4.2999999999999997E-2</v>
      </c>
      <c r="BK37" s="75">
        <v>4.6300000000000001E-2</v>
      </c>
      <c r="BL37" s="75"/>
      <c r="BM37" s="75"/>
      <c r="BN37" s="80"/>
      <c r="BO37" s="81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2"/>
      <c r="DG37" s="82"/>
      <c r="DH37" s="82"/>
      <c r="DI37" s="82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2"/>
      <c r="DZ37" s="82"/>
      <c r="EA37" s="82"/>
      <c r="EB37" s="82"/>
      <c r="EC37" s="82"/>
      <c r="ED37" s="82"/>
    </row>
    <row r="38" spans="1:134" ht="15" customHeight="1">
      <c r="A38" s="22"/>
      <c r="B38" s="23"/>
      <c r="C38" s="24" t="s">
        <v>110</v>
      </c>
      <c r="D38" s="23" t="s">
        <v>54</v>
      </c>
      <c r="E38" s="23"/>
      <c r="F38" s="25" t="s">
        <v>50</v>
      </c>
      <c r="G38" s="26">
        <v>0</v>
      </c>
      <c r="H38" s="27">
        <v>0.15</v>
      </c>
      <c r="I38" s="27">
        <v>-0.15</v>
      </c>
      <c r="J38" s="39" t="s">
        <v>51</v>
      </c>
      <c r="K38" s="40" t="s">
        <v>52</v>
      </c>
      <c r="L38" s="41">
        <f t="shared" si="0"/>
        <v>0.15</v>
      </c>
      <c r="M38" s="42">
        <f t="shared" si="1"/>
        <v>-0.15</v>
      </c>
      <c r="N38" s="45"/>
      <c r="O38" s="44">
        <f t="shared" si="2"/>
        <v>-2.1899999999999999E-2</v>
      </c>
      <c r="P38" s="44">
        <f t="shared" si="3"/>
        <v>-3.2500000000000001E-2</v>
      </c>
      <c r="Q38" s="44">
        <f t="shared" si="4"/>
        <v>-2.6951724137931038E-2</v>
      </c>
      <c r="R38" s="52">
        <f t="shared" si="5"/>
        <v>2.836071313033373E-3</v>
      </c>
      <c r="S38" s="53">
        <f t="shared" si="6"/>
        <v>17.630022126108514</v>
      </c>
      <c r="T38" s="53">
        <f t="shared" si="7"/>
        <v>20.797752078698498</v>
      </c>
      <c r="U38" s="53">
        <f t="shared" si="8"/>
        <v>14.462292173518534</v>
      </c>
      <c r="V38" s="53">
        <f t="shared" si="9"/>
        <v>14.462292173518534</v>
      </c>
      <c r="W38" s="54">
        <f t="shared" si="10"/>
        <v>1</v>
      </c>
      <c r="X38" s="55" t="str">
        <f t="shared" si="11"/>
        <v/>
      </c>
      <c r="Y38" s="55" t="str">
        <f t="shared" si="12"/>
        <v/>
      </c>
      <c r="Z38" s="55">
        <f t="shared" si="13"/>
        <v>2.6951724137931038E-2</v>
      </c>
      <c r="AA38" s="55" t="str">
        <f t="shared" si="14"/>
        <v/>
      </c>
      <c r="AB38" s="61"/>
      <c r="AC38" s="62"/>
      <c r="AD38" s="63"/>
      <c r="AE38" s="64"/>
      <c r="AF38" s="64"/>
      <c r="AG38" s="73"/>
      <c r="AH38" s="74"/>
      <c r="AI38" s="75">
        <v>-2.24E-2</v>
      </c>
      <c r="AJ38" s="75">
        <v>-2.7900000000000001E-2</v>
      </c>
      <c r="AK38" s="75">
        <v>-2.9600000000000001E-2</v>
      </c>
      <c r="AL38" s="75">
        <v>-2.81E-2</v>
      </c>
      <c r="AM38" s="75">
        <v>-3.1899999999999998E-2</v>
      </c>
      <c r="AN38" s="75">
        <v>-2.41E-2</v>
      </c>
      <c r="AO38" s="75">
        <v>-3.1899999999999998E-2</v>
      </c>
      <c r="AP38" s="75">
        <v>-2.76E-2</v>
      </c>
      <c r="AQ38" s="75">
        <v>-2.9000000000000001E-2</v>
      </c>
      <c r="AR38" s="75">
        <v>-3.2500000000000001E-2</v>
      </c>
      <c r="AS38" s="75">
        <v>-2.1899999999999999E-2</v>
      </c>
      <c r="AT38" s="75">
        <v>-3.0499999999999999E-2</v>
      </c>
      <c r="AU38" s="75">
        <v>-2.9600000000000001E-2</v>
      </c>
      <c r="AV38" s="75">
        <v>-2.69E-2</v>
      </c>
      <c r="AW38" s="75">
        <v>-2.81E-2</v>
      </c>
      <c r="AX38" s="75">
        <v>-2.6700000000000002E-2</v>
      </c>
      <c r="AY38" s="75">
        <v>-2.63E-2</v>
      </c>
      <c r="AZ38" s="75">
        <v>-2.76E-2</v>
      </c>
      <c r="BA38" s="75">
        <v>-2.8000000000000001E-2</v>
      </c>
      <c r="BB38" s="75">
        <v>-2.7400000000000001E-2</v>
      </c>
      <c r="BC38" s="75">
        <v>-2.53E-2</v>
      </c>
      <c r="BD38" s="75">
        <v>-2.29E-2</v>
      </c>
      <c r="BE38" s="75">
        <v>-2.6700000000000002E-2</v>
      </c>
      <c r="BF38" s="75">
        <v>-2.5399999999999999E-2</v>
      </c>
      <c r="BG38" s="75">
        <v>-2.4199999999999999E-2</v>
      </c>
      <c r="BH38" s="75">
        <v>-2.3199999999999998E-2</v>
      </c>
      <c r="BI38" s="75">
        <v>-2.6200000000000001E-2</v>
      </c>
      <c r="BJ38" s="75">
        <v>-2.4E-2</v>
      </c>
      <c r="BK38" s="75">
        <v>-2.5700000000000001E-2</v>
      </c>
      <c r="BL38" s="75"/>
      <c r="BM38" s="75"/>
      <c r="BN38" s="80"/>
      <c r="BO38" s="81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82"/>
      <c r="CP38" s="82"/>
      <c r="CQ38" s="82"/>
      <c r="CR38" s="82"/>
      <c r="CS38" s="82"/>
      <c r="CT38" s="82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2"/>
      <c r="DG38" s="82"/>
      <c r="DH38" s="82"/>
      <c r="DI38" s="82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2"/>
      <c r="DZ38" s="82"/>
      <c r="EA38" s="82"/>
      <c r="EB38" s="82"/>
      <c r="EC38" s="82"/>
      <c r="ED38" s="82"/>
    </row>
    <row r="39" spans="1:134" ht="15" customHeight="1">
      <c r="A39" s="22"/>
      <c r="B39" s="23"/>
      <c r="C39" s="24" t="s">
        <v>111</v>
      </c>
      <c r="D39" s="23" t="s">
        <v>54</v>
      </c>
      <c r="E39" s="23"/>
      <c r="F39" s="25" t="s">
        <v>50</v>
      </c>
      <c r="G39" s="26">
        <v>0</v>
      </c>
      <c r="H39" s="27">
        <v>0.15</v>
      </c>
      <c r="I39" s="27">
        <v>-0.15</v>
      </c>
      <c r="J39" s="39" t="s">
        <v>51</v>
      </c>
      <c r="K39" s="40" t="s">
        <v>52</v>
      </c>
      <c r="L39" s="41">
        <f t="shared" si="0"/>
        <v>0.15</v>
      </c>
      <c r="M39" s="42">
        <f t="shared" si="1"/>
        <v>-0.15</v>
      </c>
      <c r="N39" s="45"/>
      <c r="O39" s="44">
        <f t="shared" si="2"/>
        <v>3.5999999999999999E-3</v>
      </c>
      <c r="P39" s="44">
        <f t="shared" si="3"/>
        <v>-3.7000000000000002E-3</v>
      </c>
      <c r="Q39" s="44">
        <f t="shared" si="4"/>
        <v>4.5862068965517246E-4</v>
      </c>
      <c r="R39" s="52">
        <f t="shared" si="5"/>
        <v>1.6506529533532458E-3</v>
      </c>
      <c r="S39" s="53">
        <f t="shared" si="6"/>
        <v>30.291043249537516</v>
      </c>
      <c r="T39" s="53">
        <f t="shared" si="7"/>
        <v>30.198429255234334</v>
      </c>
      <c r="U39" s="53">
        <f t="shared" si="8"/>
        <v>30.383657243840698</v>
      </c>
      <c r="V39" s="53">
        <f t="shared" si="9"/>
        <v>30.198429255234334</v>
      </c>
      <c r="W39" s="54">
        <f t="shared" si="10"/>
        <v>1</v>
      </c>
      <c r="X39" s="55" t="str">
        <f t="shared" si="11"/>
        <v/>
      </c>
      <c r="Y39" s="55" t="str">
        <f t="shared" si="12"/>
        <v/>
      </c>
      <c r="Z39" s="55">
        <f t="shared" si="13"/>
        <v>-4.5862068965517246E-4</v>
      </c>
      <c r="AA39" s="55" t="str">
        <f t="shared" si="14"/>
        <v/>
      </c>
      <c r="AB39" s="61"/>
      <c r="AC39" s="62"/>
      <c r="AD39" s="63"/>
      <c r="AE39" s="64"/>
      <c r="AF39" s="64"/>
      <c r="AG39" s="73"/>
      <c r="AH39" s="74"/>
      <c r="AI39" s="75">
        <v>2.2000000000000001E-3</v>
      </c>
      <c r="AJ39" s="75">
        <v>-8.0000000000000004E-4</v>
      </c>
      <c r="AK39" s="75">
        <v>1.9E-3</v>
      </c>
      <c r="AL39" s="75">
        <v>-3.7000000000000002E-3</v>
      </c>
      <c r="AM39" s="75">
        <v>4.0000000000000002E-4</v>
      </c>
      <c r="AN39" s="75">
        <v>1.1000000000000001E-3</v>
      </c>
      <c r="AO39" s="75">
        <v>-1.1000000000000001E-3</v>
      </c>
      <c r="AP39" s="75">
        <v>3.5999999999999999E-3</v>
      </c>
      <c r="AQ39" s="75">
        <v>-2.3999999999999998E-3</v>
      </c>
      <c r="AR39" s="75">
        <v>-2E-3</v>
      </c>
      <c r="AS39" s="75">
        <v>5.9999999999999995E-4</v>
      </c>
      <c r="AT39" s="75">
        <v>2.0999999999999999E-3</v>
      </c>
      <c r="AU39" s="75">
        <v>6.9999999999999999E-4</v>
      </c>
      <c r="AV39" s="75">
        <v>1.6000000000000001E-3</v>
      </c>
      <c r="AW39" s="75">
        <v>1.2999999999999999E-3</v>
      </c>
      <c r="AX39" s="75">
        <v>1.1999999999999999E-3</v>
      </c>
      <c r="AY39" s="75">
        <v>-1E-4</v>
      </c>
      <c r="AZ39" s="75">
        <v>-2.0000000000000001E-4</v>
      </c>
      <c r="BA39" s="75">
        <v>-6.9999999999999999E-4</v>
      </c>
      <c r="BB39" s="75">
        <v>6.9999999999999999E-4</v>
      </c>
      <c r="BC39" s="75">
        <v>8.0000000000000004E-4</v>
      </c>
      <c r="BD39" s="75">
        <v>3.0000000000000001E-3</v>
      </c>
      <c r="BE39" s="75">
        <v>1E-4</v>
      </c>
      <c r="BF39" s="75">
        <v>1.1000000000000001E-3</v>
      </c>
      <c r="BG39" s="75">
        <v>2.8999999999999998E-3</v>
      </c>
      <c r="BH39" s="75">
        <v>-6.9999999999999999E-4</v>
      </c>
      <c r="BI39" s="75">
        <v>-8.0000000000000004E-4</v>
      </c>
      <c r="BJ39" s="75">
        <v>1.1999999999999999E-3</v>
      </c>
      <c r="BK39" s="75">
        <v>-6.9999999999999999E-4</v>
      </c>
      <c r="BL39" s="75"/>
      <c r="BM39" s="75"/>
      <c r="BN39" s="80"/>
      <c r="BO39" s="81"/>
      <c r="BP39" s="82"/>
      <c r="BQ39" s="82"/>
      <c r="BR39" s="82"/>
      <c r="BS39" s="82"/>
      <c r="BT39" s="82"/>
      <c r="BU39" s="82"/>
      <c r="BV39" s="82"/>
      <c r="BW39" s="82"/>
      <c r="BX39" s="82"/>
      <c r="BY39" s="82"/>
      <c r="BZ39" s="82"/>
      <c r="CA39" s="82"/>
      <c r="CB39" s="82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82"/>
      <c r="CO39" s="82"/>
      <c r="CP39" s="82"/>
      <c r="CQ39" s="82"/>
      <c r="CR39" s="82"/>
      <c r="CS39" s="82"/>
      <c r="CT39" s="82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2"/>
      <c r="DG39" s="82"/>
      <c r="DH39" s="82"/>
      <c r="DI39" s="82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2"/>
      <c r="DZ39" s="82"/>
      <c r="EA39" s="82"/>
      <c r="EB39" s="82"/>
      <c r="EC39" s="82"/>
      <c r="ED39" s="82"/>
    </row>
    <row r="40" spans="1:134" ht="15" customHeight="1">
      <c r="A40" s="22"/>
      <c r="B40" s="23"/>
      <c r="C40" s="24" t="s">
        <v>112</v>
      </c>
      <c r="D40" s="23" t="s">
        <v>54</v>
      </c>
      <c r="E40" s="23"/>
      <c r="F40" s="25" t="s">
        <v>50</v>
      </c>
      <c r="G40" s="26">
        <v>0</v>
      </c>
      <c r="H40" s="27">
        <v>0.15</v>
      </c>
      <c r="I40" s="27">
        <v>-0.15</v>
      </c>
      <c r="J40" s="39" t="s">
        <v>51</v>
      </c>
      <c r="K40" s="40" t="s">
        <v>52</v>
      </c>
      <c r="L40" s="41">
        <f t="shared" si="0"/>
        <v>0.15</v>
      </c>
      <c r="M40" s="42">
        <f t="shared" si="1"/>
        <v>-0.15</v>
      </c>
      <c r="N40" s="45"/>
      <c r="O40" s="44">
        <f t="shared" si="2"/>
        <v>2.7300000000000001E-2</v>
      </c>
      <c r="P40" s="44">
        <f t="shared" si="3"/>
        <v>1.55E-2</v>
      </c>
      <c r="Q40" s="44">
        <f t="shared" si="4"/>
        <v>2.1551724137931029E-2</v>
      </c>
      <c r="R40" s="52">
        <f t="shared" si="5"/>
        <v>2.6392126382225622E-3</v>
      </c>
      <c r="S40" s="53">
        <f t="shared" si="6"/>
        <v>18.945044168049161</v>
      </c>
      <c r="T40" s="53">
        <f t="shared" si="7"/>
        <v>16.223055063444399</v>
      </c>
      <c r="U40" s="53">
        <f t="shared" si="8"/>
        <v>21.667033272653924</v>
      </c>
      <c r="V40" s="53">
        <f t="shared" si="9"/>
        <v>16.223055063444399</v>
      </c>
      <c r="W40" s="54">
        <f t="shared" si="10"/>
        <v>1</v>
      </c>
      <c r="X40" s="55" t="str">
        <f t="shared" si="11"/>
        <v/>
      </c>
      <c r="Y40" s="55" t="str">
        <f t="shared" si="12"/>
        <v/>
      </c>
      <c r="Z40" s="55">
        <f t="shared" si="13"/>
        <v>-2.1551724137931029E-2</v>
      </c>
      <c r="AA40" s="55" t="str">
        <f t="shared" si="14"/>
        <v/>
      </c>
      <c r="AB40" s="61"/>
      <c r="AC40" s="62"/>
      <c r="AD40" s="63"/>
      <c r="AE40" s="64"/>
      <c r="AF40" s="64"/>
      <c r="AG40" s="73"/>
      <c r="AH40" s="74"/>
      <c r="AI40" s="75">
        <v>1.7399999999999999E-2</v>
      </c>
      <c r="AJ40" s="75">
        <v>2.1700000000000001E-2</v>
      </c>
      <c r="AK40" s="75">
        <v>2.3199999999999998E-2</v>
      </c>
      <c r="AL40" s="75">
        <v>1.95E-2</v>
      </c>
      <c r="AM40" s="75">
        <v>2.47E-2</v>
      </c>
      <c r="AN40" s="75">
        <v>2.1600000000000001E-2</v>
      </c>
      <c r="AO40" s="75">
        <v>2.4199999999999999E-2</v>
      </c>
      <c r="AP40" s="75">
        <v>2.29E-2</v>
      </c>
      <c r="AQ40" s="75">
        <v>2.24E-2</v>
      </c>
      <c r="AR40" s="75">
        <v>2.6100000000000002E-2</v>
      </c>
      <c r="AS40" s="75">
        <v>1.6899999999999998E-2</v>
      </c>
      <c r="AT40" s="75">
        <v>2.7300000000000001E-2</v>
      </c>
      <c r="AU40" s="75">
        <v>2.3699999999999999E-2</v>
      </c>
      <c r="AV40" s="75">
        <v>2.3599999999999999E-2</v>
      </c>
      <c r="AW40" s="75">
        <v>2.4E-2</v>
      </c>
      <c r="AX40" s="75">
        <v>2.1899999999999999E-2</v>
      </c>
      <c r="AY40" s="75">
        <v>2.3599999999999999E-2</v>
      </c>
      <c r="AZ40" s="75">
        <v>2.1399999999999999E-2</v>
      </c>
      <c r="BA40" s="75">
        <v>0.02</v>
      </c>
      <c r="BB40" s="75">
        <v>2.1499999999999998E-2</v>
      </c>
      <c r="BC40" s="75">
        <v>1.9300000000000001E-2</v>
      </c>
      <c r="BD40" s="75">
        <v>2.0799999999999999E-2</v>
      </c>
      <c r="BE40" s="75">
        <v>2.1299999999999999E-2</v>
      </c>
      <c r="BF40" s="75">
        <v>2.06E-2</v>
      </c>
      <c r="BG40" s="75">
        <v>2.0299999999999999E-2</v>
      </c>
      <c r="BH40" s="75">
        <v>1.55E-2</v>
      </c>
      <c r="BI40" s="75">
        <v>2.0199999999999999E-2</v>
      </c>
      <c r="BJ40" s="75">
        <v>1.9E-2</v>
      </c>
      <c r="BK40" s="75">
        <v>2.0400000000000001E-2</v>
      </c>
      <c r="BL40" s="75"/>
      <c r="BM40" s="75"/>
      <c r="BN40" s="80"/>
      <c r="BO40" s="81"/>
      <c r="BP40" s="82"/>
      <c r="BQ40" s="82"/>
      <c r="BR40" s="82"/>
      <c r="BS40" s="82"/>
      <c r="BT40" s="82"/>
      <c r="BU40" s="82"/>
      <c r="BV40" s="82"/>
      <c r="BW40" s="82"/>
      <c r="BX40" s="82"/>
      <c r="BY40" s="82"/>
      <c r="BZ40" s="82"/>
      <c r="CA40" s="82"/>
      <c r="CB40" s="82"/>
      <c r="CC40" s="82"/>
      <c r="CD40" s="82"/>
      <c r="CE40" s="82"/>
      <c r="CF40" s="82"/>
      <c r="CG40" s="82"/>
      <c r="CH40" s="82"/>
      <c r="CI40" s="82"/>
      <c r="CJ40" s="82"/>
      <c r="CK40" s="82"/>
      <c r="CL40" s="82"/>
      <c r="CM40" s="82"/>
      <c r="CN40" s="82"/>
      <c r="CO40" s="82"/>
      <c r="CP40" s="82"/>
      <c r="CQ40" s="82"/>
      <c r="CR40" s="82"/>
      <c r="CS40" s="82"/>
      <c r="CT40" s="82"/>
      <c r="CU40" s="82"/>
      <c r="CV40" s="82"/>
      <c r="CW40" s="82"/>
      <c r="CX40" s="82"/>
      <c r="CY40" s="82"/>
      <c r="CZ40" s="82"/>
      <c r="DA40" s="82"/>
      <c r="DB40" s="82"/>
      <c r="DC40" s="82"/>
      <c r="DD40" s="82"/>
      <c r="DE40" s="82"/>
      <c r="DF40" s="82"/>
      <c r="DG40" s="82"/>
      <c r="DH40" s="82"/>
      <c r="DI40" s="82"/>
      <c r="DJ40" s="82"/>
      <c r="DK40" s="82"/>
      <c r="DL40" s="82"/>
      <c r="DM40" s="82"/>
      <c r="DN40" s="82"/>
      <c r="DO40" s="82"/>
      <c r="DP40" s="82"/>
      <c r="DQ40" s="82"/>
      <c r="DR40" s="82"/>
      <c r="DS40" s="82"/>
      <c r="DT40" s="82"/>
      <c r="DU40" s="82"/>
      <c r="DV40" s="82"/>
      <c r="DW40" s="82"/>
      <c r="DX40" s="82"/>
      <c r="DY40" s="82"/>
      <c r="DZ40" s="82"/>
      <c r="EA40" s="82"/>
      <c r="EB40" s="82"/>
      <c r="EC40" s="82"/>
      <c r="ED40" s="82"/>
    </row>
    <row r="41" spans="1:134" ht="15" customHeight="1">
      <c r="A41" s="22"/>
      <c r="B41" s="23"/>
      <c r="C41" s="24" t="s">
        <v>113</v>
      </c>
      <c r="D41" s="23" t="s">
        <v>54</v>
      </c>
      <c r="E41" s="23"/>
      <c r="F41" s="25" t="s">
        <v>50</v>
      </c>
      <c r="G41" s="26">
        <v>0</v>
      </c>
      <c r="H41" s="27">
        <v>0.15</v>
      </c>
      <c r="I41" s="27">
        <v>-0.15</v>
      </c>
      <c r="J41" s="39" t="s">
        <v>51</v>
      </c>
      <c r="K41" s="40" t="s">
        <v>52</v>
      </c>
      <c r="L41" s="41">
        <f t="shared" si="0"/>
        <v>0.15</v>
      </c>
      <c r="M41" s="42">
        <f t="shared" si="1"/>
        <v>-0.15</v>
      </c>
      <c r="N41" s="45"/>
      <c r="O41" s="44">
        <f t="shared" si="2"/>
        <v>7.3000000000000001E-3</v>
      </c>
      <c r="P41" s="44">
        <f t="shared" si="3"/>
        <v>-2.9999999999999997E-4</v>
      </c>
      <c r="Q41" s="44">
        <f t="shared" si="4"/>
        <v>2.3965517241379313E-3</v>
      </c>
      <c r="R41" s="52">
        <f t="shared" si="5"/>
        <v>1.9428408431654716E-3</v>
      </c>
      <c r="S41" s="53">
        <f t="shared" si="6"/>
        <v>25.735510026922729</v>
      </c>
      <c r="T41" s="53">
        <f t="shared" si="7"/>
        <v>25.324333487412122</v>
      </c>
      <c r="U41" s="53">
        <f t="shared" si="8"/>
        <v>26.146686566433335</v>
      </c>
      <c r="V41" s="53">
        <f t="shared" si="9"/>
        <v>25.324333487412122</v>
      </c>
      <c r="W41" s="54">
        <f t="shared" si="10"/>
        <v>1</v>
      </c>
      <c r="X41" s="55" t="str">
        <f t="shared" si="11"/>
        <v/>
      </c>
      <c r="Y41" s="55" t="str">
        <f t="shared" si="12"/>
        <v/>
      </c>
      <c r="Z41" s="55">
        <f t="shared" si="13"/>
        <v>-2.3965517241379313E-3</v>
      </c>
      <c r="AA41" s="55" t="str">
        <f t="shared" si="14"/>
        <v/>
      </c>
      <c r="AB41" s="61"/>
      <c r="AC41" s="62"/>
      <c r="AD41" s="63"/>
      <c r="AE41" s="64"/>
      <c r="AF41" s="64"/>
      <c r="AG41" s="73"/>
      <c r="AH41" s="74"/>
      <c r="AI41" s="75">
        <v>4.0000000000000002E-4</v>
      </c>
      <c r="AJ41" s="75">
        <v>5.0000000000000001E-3</v>
      </c>
      <c r="AK41" s="75">
        <v>2.8999999999999998E-3</v>
      </c>
      <c r="AL41" s="75">
        <v>7.3000000000000001E-3</v>
      </c>
      <c r="AM41" s="75">
        <v>3.8E-3</v>
      </c>
      <c r="AN41" s="75">
        <v>2.2000000000000001E-3</v>
      </c>
      <c r="AO41" s="75">
        <v>4.1000000000000003E-3</v>
      </c>
      <c r="AP41" s="75">
        <v>4.0000000000000002E-4</v>
      </c>
      <c r="AQ41" s="75">
        <v>4.4000000000000003E-3</v>
      </c>
      <c r="AR41" s="75">
        <v>6.8999999999999999E-3</v>
      </c>
      <c r="AS41" s="75">
        <v>2.5000000000000001E-3</v>
      </c>
      <c r="AT41" s="75">
        <v>-2.9999999999999997E-4</v>
      </c>
      <c r="AU41" s="75">
        <v>4.1000000000000003E-3</v>
      </c>
      <c r="AV41" s="75">
        <v>3.0999999999999999E-3</v>
      </c>
      <c r="AW41" s="75">
        <v>2.3E-3</v>
      </c>
      <c r="AX41" s="75">
        <v>0</v>
      </c>
      <c r="AY41" s="75">
        <v>2.9999999999999997E-4</v>
      </c>
      <c r="AZ41" s="75">
        <v>2.0999999999999999E-3</v>
      </c>
      <c r="BA41" s="75">
        <v>2.7000000000000001E-3</v>
      </c>
      <c r="BB41" s="75">
        <v>1.1000000000000001E-3</v>
      </c>
      <c r="BC41" s="75">
        <v>1.2999999999999999E-3</v>
      </c>
      <c r="BD41" s="75">
        <v>8.9999999999999998E-4</v>
      </c>
      <c r="BE41" s="75">
        <v>1.2999999999999999E-3</v>
      </c>
      <c r="BF41" s="75">
        <v>2.5999999999999999E-3</v>
      </c>
      <c r="BG41" s="75">
        <v>2.0000000000000001E-4</v>
      </c>
      <c r="BH41" s="75">
        <v>1E-3</v>
      </c>
      <c r="BI41" s="75">
        <v>3.3999999999999998E-3</v>
      </c>
      <c r="BJ41" s="75">
        <v>2.5999999999999999E-3</v>
      </c>
      <c r="BK41" s="75">
        <v>8.9999999999999998E-4</v>
      </c>
      <c r="BL41" s="75"/>
      <c r="BM41" s="75"/>
      <c r="BN41" s="80"/>
      <c r="BO41" s="81"/>
      <c r="BP41" s="82"/>
      <c r="BQ41" s="82"/>
      <c r="BR41" s="82"/>
      <c r="BS41" s="82"/>
      <c r="BT41" s="82"/>
      <c r="BU41" s="82"/>
      <c r="BV41" s="82"/>
      <c r="BW41" s="82"/>
      <c r="BX41" s="82"/>
      <c r="BY41" s="82"/>
      <c r="BZ41" s="82"/>
      <c r="CA41" s="82"/>
      <c r="CB41" s="82"/>
      <c r="CC41" s="82"/>
      <c r="CD41" s="82"/>
      <c r="CE41" s="82"/>
      <c r="CF41" s="82"/>
      <c r="CG41" s="82"/>
      <c r="CH41" s="82"/>
      <c r="CI41" s="82"/>
      <c r="CJ41" s="82"/>
      <c r="CK41" s="82"/>
      <c r="CL41" s="82"/>
      <c r="CM41" s="82"/>
      <c r="CN41" s="82"/>
      <c r="CO41" s="82"/>
      <c r="CP41" s="82"/>
      <c r="CQ41" s="82"/>
      <c r="CR41" s="82"/>
      <c r="CS41" s="82"/>
      <c r="CT41" s="82"/>
      <c r="CU41" s="82"/>
      <c r="CV41" s="82"/>
      <c r="CW41" s="82"/>
      <c r="CX41" s="82"/>
      <c r="CY41" s="82"/>
      <c r="CZ41" s="82"/>
      <c r="DA41" s="82"/>
      <c r="DB41" s="82"/>
      <c r="DC41" s="82"/>
      <c r="DD41" s="82"/>
      <c r="DE41" s="82"/>
      <c r="DF41" s="82"/>
      <c r="DG41" s="82"/>
      <c r="DH41" s="82"/>
      <c r="DI41" s="82"/>
      <c r="DJ41" s="82"/>
      <c r="DK41" s="82"/>
      <c r="DL41" s="82"/>
      <c r="DM41" s="82"/>
      <c r="DN41" s="82"/>
      <c r="DO41" s="82"/>
      <c r="DP41" s="82"/>
      <c r="DQ41" s="82"/>
      <c r="DR41" s="82"/>
      <c r="DS41" s="82"/>
      <c r="DT41" s="82"/>
      <c r="DU41" s="82"/>
      <c r="DV41" s="82"/>
      <c r="DW41" s="82"/>
      <c r="DX41" s="82"/>
      <c r="DY41" s="82"/>
      <c r="DZ41" s="82"/>
      <c r="EA41" s="82"/>
      <c r="EB41" s="82"/>
      <c r="EC41" s="82"/>
      <c r="ED41" s="82"/>
    </row>
    <row r="42" spans="1:134" ht="15" customHeight="1">
      <c r="A42" s="22"/>
      <c r="B42" s="23"/>
      <c r="C42" s="24" t="s">
        <v>114</v>
      </c>
      <c r="D42" s="23" t="s">
        <v>54</v>
      </c>
      <c r="E42" s="23"/>
      <c r="F42" s="25" t="s">
        <v>50</v>
      </c>
      <c r="G42" s="26">
        <v>0</v>
      </c>
      <c r="H42" s="27">
        <v>0.15</v>
      </c>
      <c r="I42" s="27">
        <v>-0.15</v>
      </c>
      <c r="J42" s="39" t="s">
        <v>51</v>
      </c>
      <c r="K42" s="40" t="s">
        <v>52</v>
      </c>
      <c r="L42" s="41">
        <f t="shared" si="0"/>
        <v>0.15</v>
      </c>
      <c r="M42" s="42">
        <f t="shared" si="1"/>
        <v>-0.15</v>
      </c>
      <c r="N42" s="45"/>
      <c r="O42" s="44">
        <f t="shared" si="2"/>
        <v>-1.5E-3</v>
      </c>
      <c r="P42" s="44">
        <f t="shared" si="3"/>
        <v>-8.6999999999999994E-3</v>
      </c>
      <c r="Q42" s="44">
        <f t="shared" si="4"/>
        <v>-5.0137931034482759E-3</v>
      </c>
      <c r="R42" s="52">
        <f t="shared" si="5"/>
        <v>1.7102055302404516E-3</v>
      </c>
      <c r="S42" s="53">
        <f t="shared" si="6"/>
        <v>29.236252085426301</v>
      </c>
      <c r="T42" s="53">
        <f t="shared" si="7"/>
        <v>30.213482212603537</v>
      </c>
      <c r="U42" s="53">
        <f t="shared" si="8"/>
        <v>28.259021958249065</v>
      </c>
      <c r="V42" s="53">
        <f t="shared" si="9"/>
        <v>28.259021958249065</v>
      </c>
      <c r="W42" s="54">
        <f t="shared" si="10"/>
        <v>1</v>
      </c>
      <c r="X42" s="55" t="str">
        <f t="shared" si="11"/>
        <v/>
      </c>
      <c r="Y42" s="55" t="str">
        <f t="shared" si="12"/>
        <v/>
      </c>
      <c r="Z42" s="55">
        <f t="shared" si="13"/>
        <v>5.0137931034482759E-3</v>
      </c>
      <c r="AA42" s="55" t="str">
        <f t="shared" si="14"/>
        <v/>
      </c>
      <c r="AB42" s="61"/>
      <c r="AC42" s="62"/>
      <c r="AD42" s="63"/>
      <c r="AE42" s="64"/>
      <c r="AF42" s="64"/>
      <c r="AG42" s="73"/>
      <c r="AH42" s="74"/>
      <c r="AI42" s="75">
        <v>-4.7000000000000002E-3</v>
      </c>
      <c r="AJ42" s="75">
        <v>-4.7000000000000002E-3</v>
      </c>
      <c r="AK42" s="75">
        <v>-6.7000000000000002E-3</v>
      </c>
      <c r="AL42" s="75">
        <v>-1.5E-3</v>
      </c>
      <c r="AM42" s="75">
        <v>-5.7000000000000002E-3</v>
      </c>
      <c r="AN42" s="75">
        <v>-5.5999999999999999E-3</v>
      </c>
      <c r="AO42" s="75">
        <v>-4.3E-3</v>
      </c>
      <c r="AP42" s="75">
        <v>-7.7999999999999996E-3</v>
      </c>
      <c r="AQ42" s="75">
        <v>-3.5000000000000001E-3</v>
      </c>
      <c r="AR42" s="75">
        <v>-6.1999999999999998E-3</v>
      </c>
      <c r="AS42" s="75">
        <v>-4.7000000000000002E-3</v>
      </c>
      <c r="AT42" s="75">
        <v>-8.6999999999999994E-3</v>
      </c>
      <c r="AU42" s="75">
        <v>-5.3E-3</v>
      </c>
      <c r="AV42" s="75">
        <v>-6.4000000000000003E-3</v>
      </c>
      <c r="AW42" s="75">
        <v>-6.3E-3</v>
      </c>
      <c r="AX42" s="75">
        <v>-5.0000000000000001E-3</v>
      </c>
      <c r="AY42" s="75">
        <v>-6.7000000000000002E-3</v>
      </c>
      <c r="AZ42" s="75">
        <v>-5.1999999999999998E-3</v>
      </c>
      <c r="BA42" s="75">
        <v>-2.5999999999999999E-3</v>
      </c>
      <c r="BB42" s="75">
        <v>-4.0000000000000001E-3</v>
      </c>
      <c r="BC42" s="75">
        <v>-3.0000000000000001E-3</v>
      </c>
      <c r="BD42" s="75">
        <v>-6.4999999999999997E-3</v>
      </c>
      <c r="BE42" s="75">
        <v>-5.4999999999999997E-3</v>
      </c>
      <c r="BF42" s="75">
        <v>-5.7999999999999996E-3</v>
      </c>
      <c r="BG42" s="75">
        <v>-6.3E-3</v>
      </c>
      <c r="BH42" s="75">
        <v>-1.5E-3</v>
      </c>
      <c r="BI42" s="75">
        <v>-4.1000000000000003E-3</v>
      </c>
      <c r="BJ42" s="75">
        <v>-4.0000000000000001E-3</v>
      </c>
      <c r="BK42" s="75">
        <v>-3.0999999999999999E-3</v>
      </c>
      <c r="BL42" s="75"/>
      <c r="BM42" s="75"/>
      <c r="BN42" s="80"/>
      <c r="BO42" s="81"/>
      <c r="BP42" s="82"/>
      <c r="BQ42" s="82"/>
      <c r="BR42" s="82"/>
      <c r="BS42" s="82"/>
      <c r="BT42" s="82"/>
      <c r="BU42" s="82"/>
      <c r="BV42" s="82"/>
      <c r="BW42" s="82"/>
      <c r="BX42" s="82"/>
      <c r="BY42" s="82"/>
      <c r="BZ42" s="82"/>
      <c r="CA42" s="82"/>
      <c r="CB42" s="82"/>
      <c r="CC42" s="82"/>
      <c r="CD42" s="82"/>
      <c r="CE42" s="82"/>
      <c r="CF42" s="82"/>
      <c r="CG42" s="82"/>
      <c r="CH42" s="82"/>
      <c r="CI42" s="82"/>
      <c r="CJ42" s="82"/>
      <c r="CK42" s="82"/>
      <c r="CL42" s="82"/>
      <c r="CM42" s="82"/>
      <c r="CN42" s="82"/>
      <c r="CO42" s="82"/>
      <c r="CP42" s="82"/>
      <c r="CQ42" s="82"/>
      <c r="CR42" s="82"/>
      <c r="CS42" s="82"/>
      <c r="CT42" s="82"/>
      <c r="CU42" s="82"/>
      <c r="CV42" s="82"/>
      <c r="CW42" s="82"/>
      <c r="CX42" s="82"/>
      <c r="CY42" s="82"/>
      <c r="CZ42" s="82"/>
      <c r="DA42" s="82"/>
      <c r="DB42" s="82"/>
      <c r="DC42" s="82"/>
      <c r="DD42" s="82"/>
      <c r="DE42" s="82"/>
      <c r="DF42" s="82"/>
      <c r="DG42" s="82"/>
      <c r="DH42" s="82"/>
      <c r="DI42" s="82"/>
      <c r="DJ42" s="82"/>
      <c r="DK42" s="82"/>
      <c r="DL42" s="82"/>
      <c r="DM42" s="82"/>
      <c r="DN42" s="82"/>
      <c r="DO42" s="82"/>
      <c r="DP42" s="82"/>
      <c r="DQ42" s="82"/>
      <c r="DR42" s="82"/>
      <c r="DS42" s="82"/>
      <c r="DT42" s="82"/>
      <c r="DU42" s="82"/>
      <c r="DV42" s="82"/>
      <c r="DW42" s="82"/>
      <c r="DX42" s="82"/>
      <c r="DY42" s="82"/>
      <c r="DZ42" s="82"/>
      <c r="EA42" s="82"/>
      <c r="EB42" s="82"/>
      <c r="EC42" s="82"/>
      <c r="ED42" s="82"/>
    </row>
    <row r="43" spans="1:134" ht="15" customHeight="1">
      <c r="A43" s="22"/>
      <c r="B43" s="23"/>
      <c r="C43" s="24" t="s">
        <v>115</v>
      </c>
      <c r="D43" s="23" t="s">
        <v>54</v>
      </c>
      <c r="E43" s="23"/>
      <c r="F43" s="25" t="s">
        <v>50</v>
      </c>
      <c r="G43" s="26">
        <v>0</v>
      </c>
      <c r="H43" s="27">
        <v>0.15</v>
      </c>
      <c r="I43" s="27">
        <v>-0.15</v>
      </c>
      <c r="J43" s="39" t="s">
        <v>51</v>
      </c>
      <c r="K43" s="40" t="s">
        <v>52</v>
      </c>
      <c r="L43" s="41">
        <f t="shared" si="0"/>
        <v>0.15</v>
      </c>
      <c r="M43" s="42">
        <f t="shared" si="1"/>
        <v>-0.15</v>
      </c>
      <c r="N43" s="43"/>
      <c r="O43" s="44">
        <f t="shared" si="2"/>
        <v>-6.3E-3</v>
      </c>
      <c r="P43" s="44">
        <f t="shared" si="3"/>
        <v>-1.8800000000000001E-2</v>
      </c>
      <c r="Q43" s="44">
        <f t="shared" si="4"/>
        <v>-1.2737931034482756E-2</v>
      </c>
      <c r="R43" s="52">
        <f t="shared" si="5"/>
        <v>2.9685751504122853E-3</v>
      </c>
      <c r="S43" s="53">
        <f t="shared" si="6"/>
        <v>16.843097266059051</v>
      </c>
      <c r="T43" s="53">
        <f t="shared" si="7"/>
        <v>18.273405341940016</v>
      </c>
      <c r="U43" s="53">
        <f t="shared" si="8"/>
        <v>15.412789190178081</v>
      </c>
      <c r="V43" s="53">
        <f t="shared" si="9"/>
        <v>15.412789190178081</v>
      </c>
      <c r="W43" s="54">
        <f t="shared" si="10"/>
        <v>1</v>
      </c>
      <c r="X43" s="55" t="str">
        <f t="shared" si="11"/>
        <v/>
      </c>
      <c r="Y43" s="55" t="str">
        <f t="shared" si="12"/>
        <v/>
      </c>
      <c r="Z43" s="55">
        <f t="shared" si="13"/>
        <v>1.2737931034482756E-2</v>
      </c>
      <c r="AA43" s="55" t="str">
        <f t="shared" si="14"/>
        <v/>
      </c>
      <c r="AB43" s="61"/>
      <c r="AC43" s="62"/>
      <c r="AD43" s="63"/>
      <c r="AE43" s="64"/>
      <c r="AF43" s="64"/>
      <c r="AG43" s="73"/>
      <c r="AH43" s="74"/>
      <c r="AI43" s="75">
        <v>-8.6E-3</v>
      </c>
      <c r="AJ43" s="75">
        <v>-1.52E-2</v>
      </c>
      <c r="AK43" s="75">
        <v>-1.3899999999999999E-2</v>
      </c>
      <c r="AL43" s="75">
        <v>-1.5900000000000001E-2</v>
      </c>
      <c r="AM43" s="75">
        <v>-1.5100000000000001E-2</v>
      </c>
      <c r="AN43" s="75">
        <v>-1.43E-2</v>
      </c>
      <c r="AO43" s="75">
        <v>-1.47E-2</v>
      </c>
      <c r="AP43" s="75">
        <v>-1.0999999999999999E-2</v>
      </c>
      <c r="AQ43" s="75">
        <v>-1.37E-2</v>
      </c>
      <c r="AR43" s="75">
        <v>-1.8800000000000001E-2</v>
      </c>
      <c r="AS43" s="75">
        <v>-9.4999999999999998E-3</v>
      </c>
      <c r="AT43" s="75">
        <v>-1.2500000000000001E-2</v>
      </c>
      <c r="AU43" s="75">
        <v>-1.8100000000000002E-2</v>
      </c>
      <c r="AV43" s="75">
        <v>-1.7399999999999999E-2</v>
      </c>
      <c r="AW43" s="75">
        <v>-1.5800000000000002E-2</v>
      </c>
      <c r="AX43" s="75">
        <v>-1.03E-2</v>
      </c>
      <c r="AY43" s="75">
        <v>-1.0699999999999999E-2</v>
      </c>
      <c r="AZ43" s="75">
        <v>-9.7999999999999997E-3</v>
      </c>
      <c r="BA43" s="75">
        <v>-1.18E-2</v>
      </c>
      <c r="BB43" s="75">
        <v>-1.1599999999999999E-2</v>
      </c>
      <c r="BC43" s="75">
        <v>-1.15E-2</v>
      </c>
      <c r="BD43" s="75">
        <v>-1.43E-2</v>
      </c>
      <c r="BE43" s="75">
        <v>-9.9000000000000008E-3</v>
      </c>
      <c r="BF43" s="75">
        <v>-1.2500000000000001E-2</v>
      </c>
      <c r="BG43" s="75">
        <v>-1.0800000000000001E-2</v>
      </c>
      <c r="BH43" s="75">
        <v>-6.3E-3</v>
      </c>
      <c r="BI43" s="75">
        <v>-1.1900000000000001E-2</v>
      </c>
      <c r="BJ43" s="75">
        <v>-1.38E-2</v>
      </c>
      <c r="BK43" s="75">
        <v>-9.7000000000000003E-3</v>
      </c>
      <c r="BL43" s="75"/>
      <c r="BM43" s="75"/>
      <c r="BN43" s="80"/>
      <c r="BO43" s="81"/>
      <c r="BP43" s="82"/>
      <c r="BQ43" s="82"/>
      <c r="BR43" s="82"/>
      <c r="BS43" s="82"/>
      <c r="BT43" s="82"/>
      <c r="BU43" s="82"/>
      <c r="BV43" s="82"/>
      <c r="BW43" s="82"/>
      <c r="BX43" s="82"/>
      <c r="BY43" s="82"/>
      <c r="BZ43" s="82"/>
      <c r="CA43" s="82"/>
      <c r="CB43" s="82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82"/>
      <c r="CP43" s="82"/>
      <c r="CQ43" s="82"/>
      <c r="CR43" s="82"/>
      <c r="CS43" s="82"/>
      <c r="CT43" s="82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2"/>
      <c r="DG43" s="82"/>
      <c r="DH43" s="82"/>
      <c r="DI43" s="82"/>
      <c r="DJ43" s="82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2"/>
      <c r="DZ43" s="82"/>
      <c r="EA43" s="82"/>
      <c r="EB43" s="82"/>
      <c r="EC43" s="82"/>
      <c r="ED43" s="82"/>
    </row>
    <row r="44" spans="1:134" ht="15" customHeight="1">
      <c r="A44" s="22"/>
      <c r="B44" s="29"/>
      <c r="C44" s="24" t="s">
        <v>116</v>
      </c>
      <c r="D44" s="23" t="s">
        <v>54</v>
      </c>
      <c r="E44" s="23"/>
      <c r="F44" s="25" t="s">
        <v>50</v>
      </c>
      <c r="G44" s="26">
        <v>0</v>
      </c>
      <c r="H44" s="27">
        <v>0.15</v>
      </c>
      <c r="I44" s="27">
        <v>-0.15</v>
      </c>
      <c r="J44" s="39" t="s">
        <v>51</v>
      </c>
      <c r="K44" s="40" t="s">
        <v>52</v>
      </c>
      <c r="L44" s="41">
        <f t="shared" si="0"/>
        <v>0.15</v>
      </c>
      <c r="M44" s="42">
        <f t="shared" si="1"/>
        <v>-0.15</v>
      </c>
      <c r="N44" s="43"/>
      <c r="O44" s="44">
        <f t="shared" si="2"/>
        <v>4.5999999999999999E-3</v>
      </c>
      <c r="P44" s="44">
        <f t="shared" si="3"/>
        <v>-4.1999999999999997E-3</v>
      </c>
      <c r="Q44" s="44">
        <f t="shared" si="4"/>
        <v>-2.1034482758620684E-4</v>
      </c>
      <c r="R44" s="52">
        <f t="shared" si="5"/>
        <v>2.0997184892242457E-3</v>
      </c>
      <c r="S44" s="53">
        <f t="shared" si="6"/>
        <v>23.812715969593054</v>
      </c>
      <c r="T44" s="53">
        <f t="shared" si="7"/>
        <v>23.846108513826277</v>
      </c>
      <c r="U44" s="53">
        <f t="shared" si="8"/>
        <v>23.779323425359834</v>
      </c>
      <c r="V44" s="53">
        <f t="shared" si="9"/>
        <v>23.779323425359834</v>
      </c>
      <c r="W44" s="54">
        <f t="shared" si="10"/>
        <v>1</v>
      </c>
      <c r="X44" s="55" t="str">
        <f t="shared" si="11"/>
        <v/>
      </c>
      <c r="Y44" s="55" t="str">
        <f t="shared" si="12"/>
        <v/>
      </c>
      <c r="Z44" s="55">
        <f t="shared" si="13"/>
        <v>2.1034482758620684E-4</v>
      </c>
      <c r="AA44" s="55" t="str">
        <f t="shared" si="14"/>
        <v/>
      </c>
      <c r="AB44" s="61"/>
      <c r="AC44" s="62"/>
      <c r="AD44" s="63"/>
      <c r="AE44" s="64"/>
      <c r="AF44" s="64"/>
      <c r="AG44" s="73"/>
      <c r="AH44" s="74"/>
      <c r="AI44" s="75">
        <v>5.0000000000000001E-4</v>
      </c>
      <c r="AJ44" s="75">
        <v>-1.1000000000000001E-3</v>
      </c>
      <c r="AK44" s="75">
        <v>4.0000000000000002E-4</v>
      </c>
      <c r="AL44" s="75">
        <v>-4.1999999999999997E-3</v>
      </c>
      <c r="AM44" s="75">
        <v>-1.6999999999999999E-3</v>
      </c>
      <c r="AN44" s="75">
        <v>8.9999999999999998E-4</v>
      </c>
      <c r="AO44" s="75">
        <v>-2.8999999999999998E-3</v>
      </c>
      <c r="AP44" s="75">
        <v>1.2999999999999999E-3</v>
      </c>
      <c r="AQ44" s="75">
        <v>-3.5000000000000001E-3</v>
      </c>
      <c r="AR44" s="75">
        <v>-1.5E-3</v>
      </c>
      <c r="AS44" s="75">
        <v>-4.0000000000000002E-4</v>
      </c>
      <c r="AT44" s="75">
        <v>2.0999999999999999E-3</v>
      </c>
      <c r="AU44" s="75">
        <v>1.2999999999999999E-3</v>
      </c>
      <c r="AV44" s="75">
        <v>2.3999999999999998E-3</v>
      </c>
      <c r="AW44" s="75">
        <v>2.2000000000000001E-3</v>
      </c>
      <c r="AX44" s="75">
        <v>-2.0000000000000001E-4</v>
      </c>
      <c r="AY44" s="75">
        <v>2E-3</v>
      </c>
      <c r="AZ44" s="75">
        <v>-2.3E-3</v>
      </c>
      <c r="BA44" s="75">
        <v>-1.9E-3</v>
      </c>
      <c r="BB44" s="75">
        <v>-8.0000000000000004E-4</v>
      </c>
      <c r="BC44" s="75">
        <v>-5.0000000000000001E-4</v>
      </c>
      <c r="BD44" s="75">
        <v>4.5999999999999999E-3</v>
      </c>
      <c r="BE44" s="75">
        <v>5.9999999999999995E-4</v>
      </c>
      <c r="BF44" s="75">
        <v>5.0000000000000001E-4</v>
      </c>
      <c r="BG44" s="75">
        <v>2.3E-3</v>
      </c>
      <c r="BH44" s="75">
        <v>-2.8E-3</v>
      </c>
      <c r="BI44" s="75">
        <v>-1.9E-3</v>
      </c>
      <c r="BJ44" s="75">
        <v>1.1000000000000001E-3</v>
      </c>
      <c r="BK44" s="75">
        <v>-2.5999999999999999E-3</v>
      </c>
      <c r="BL44" s="75"/>
      <c r="BM44" s="75"/>
      <c r="BN44" s="80"/>
      <c r="BO44" s="81"/>
      <c r="BP44" s="82"/>
      <c r="BQ44" s="82"/>
      <c r="BR44" s="82"/>
      <c r="BS44" s="82"/>
      <c r="BT44" s="82"/>
      <c r="BU44" s="82"/>
      <c r="BV44" s="82"/>
      <c r="BW44" s="82"/>
      <c r="BX44" s="82"/>
      <c r="BY44" s="82"/>
      <c r="BZ44" s="82"/>
      <c r="CA44" s="82"/>
      <c r="CB44" s="82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82"/>
      <c r="CP44" s="82"/>
      <c r="CQ44" s="82"/>
      <c r="CR44" s="82"/>
      <c r="CS44" s="82"/>
      <c r="CT44" s="82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2"/>
      <c r="DG44" s="82"/>
      <c r="DH44" s="82"/>
      <c r="DI44" s="82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2"/>
      <c r="DZ44" s="82"/>
      <c r="EA44" s="82"/>
      <c r="EB44" s="82"/>
      <c r="EC44" s="82"/>
      <c r="ED44" s="82"/>
    </row>
    <row r="45" spans="1:134" ht="15" customHeight="1">
      <c r="A45" s="22"/>
      <c r="B45" s="29"/>
      <c r="C45" s="24" t="s">
        <v>117</v>
      </c>
      <c r="D45" s="23" t="s">
        <v>54</v>
      </c>
      <c r="E45" s="23"/>
      <c r="F45" s="25" t="s">
        <v>50</v>
      </c>
      <c r="G45" s="26">
        <v>0</v>
      </c>
      <c r="H45" s="27">
        <v>0.15</v>
      </c>
      <c r="I45" s="27">
        <v>-0.15</v>
      </c>
      <c r="J45" s="39" t="s">
        <v>51</v>
      </c>
      <c r="K45" s="40" t="s">
        <v>52</v>
      </c>
      <c r="L45" s="41">
        <f t="shared" si="0"/>
        <v>0.15</v>
      </c>
      <c r="M45" s="42">
        <f t="shared" si="1"/>
        <v>-0.15</v>
      </c>
      <c r="N45" s="43"/>
      <c r="O45" s="44">
        <f t="shared" si="2"/>
        <v>7.1999999999999998E-3</v>
      </c>
      <c r="P45" s="44">
        <f t="shared" si="3"/>
        <v>-4.3E-3</v>
      </c>
      <c r="Q45" s="44">
        <f t="shared" si="4"/>
        <v>2.6379310344827591E-3</v>
      </c>
      <c r="R45" s="52">
        <f t="shared" si="5"/>
        <v>2.6632973377675286E-3</v>
      </c>
      <c r="S45" s="53">
        <f t="shared" si="6"/>
        <v>18.773720564716136</v>
      </c>
      <c r="T45" s="53">
        <f t="shared" si="7"/>
        <v>18.443562030646991</v>
      </c>
      <c r="U45" s="53">
        <f t="shared" si="8"/>
        <v>19.103879098785285</v>
      </c>
      <c r="V45" s="53">
        <f t="shared" si="9"/>
        <v>18.443562030646991</v>
      </c>
      <c r="W45" s="54">
        <f t="shared" si="10"/>
        <v>1</v>
      </c>
      <c r="X45" s="55" t="str">
        <f t="shared" si="11"/>
        <v/>
      </c>
      <c r="Y45" s="55" t="str">
        <f t="shared" si="12"/>
        <v/>
      </c>
      <c r="Z45" s="55">
        <f t="shared" si="13"/>
        <v>-2.6379310344827591E-3</v>
      </c>
      <c r="AA45" s="55" t="str">
        <f t="shared" si="14"/>
        <v/>
      </c>
      <c r="AB45" s="61"/>
      <c r="AC45" s="62"/>
      <c r="AD45" s="63"/>
      <c r="AE45" s="64"/>
      <c r="AF45" s="64"/>
      <c r="AG45" s="73"/>
      <c r="AH45" s="74"/>
      <c r="AI45" s="75">
        <v>2.9999999999999997E-4</v>
      </c>
      <c r="AJ45" s="75">
        <v>4.1000000000000003E-3</v>
      </c>
      <c r="AK45" s="75">
        <v>3.5999999999999999E-3</v>
      </c>
      <c r="AL45" s="75">
        <v>2.7000000000000001E-3</v>
      </c>
      <c r="AM45" s="75">
        <v>4.8999999999999998E-3</v>
      </c>
      <c r="AN45" s="75">
        <v>6.1999999999999998E-3</v>
      </c>
      <c r="AO45" s="75">
        <v>3.5000000000000001E-3</v>
      </c>
      <c r="AP45" s="75">
        <v>3.3999999999999998E-3</v>
      </c>
      <c r="AQ45" s="75">
        <v>2.7000000000000001E-3</v>
      </c>
      <c r="AR45" s="75">
        <v>6.7999999999999996E-3</v>
      </c>
      <c r="AS45" s="75">
        <v>1.5E-3</v>
      </c>
      <c r="AT45" s="75">
        <v>3.8999999999999998E-3</v>
      </c>
      <c r="AU45" s="75">
        <v>6.7999999999999996E-3</v>
      </c>
      <c r="AV45" s="75">
        <v>7.1999999999999998E-3</v>
      </c>
      <c r="AW45" s="75">
        <v>5.3E-3</v>
      </c>
      <c r="AX45" s="75">
        <v>8.0000000000000004E-4</v>
      </c>
      <c r="AY45" s="75">
        <v>2.9999999999999997E-4</v>
      </c>
      <c r="AZ45" s="75">
        <v>1.1999999999999999E-3</v>
      </c>
      <c r="BA45" s="75">
        <v>-5.9999999999999995E-4</v>
      </c>
      <c r="BB45" s="75">
        <v>8.0000000000000004E-4</v>
      </c>
      <c r="BC45" s="75">
        <v>6.9999999999999999E-4</v>
      </c>
      <c r="BD45" s="75">
        <v>5.0000000000000001E-3</v>
      </c>
      <c r="BE45" s="75">
        <v>-1.2999999999999999E-3</v>
      </c>
      <c r="BF45" s="75">
        <v>3.0000000000000001E-3</v>
      </c>
      <c r="BG45" s="75">
        <v>2.3999999999999998E-3</v>
      </c>
      <c r="BH45" s="75">
        <v>-4.3E-3</v>
      </c>
      <c r="BI45" s="75">
        <v>1.8E-3</v>
      </c>
      <c r="BJ45" s="75">
        <v>3.5999999999999999E-3</v>
      </c>
      <c r="BK45" s="75">
        <v>2.0000000000000001E-4</v>
      </c>
      <c r="BL45" s="75"/>
      <c r="BM45" s="75"/>
      <c r="BN45" s="80"/>
      <c r="BO45" s="81"/>
      <c r="BP45" s="82"/>
      <c r="BQ45" s="82"/>
      <c r="BR45" s="82"/>
      <c r="BS45" s="82"/>
      <c r="BT45" s="82"/>
      <c r="BU45" s="82"/>
      <c r="BV45" s="82"/>
      <c r="BW45" s="82"/>
      <c r="BX45" s="82"/>
      <c r="BY45" s="82"/>
      <c r="BZ45" s="82"/>
      <c r="CA45" s="82"/>
      <c r="CB45" s="82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82"/>
      <c r="CP45" s="82"/>
      <c r="CQ45" s="82"/>
      <c r="CR45" s="82"/>
      <c r="CS45" s="82"/>
      <c r="CT45" s="82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2"/>
      <c r="DG45" s="82"/>
      <c r="DH45" s="82"/>
      <c r="DI45" s="82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2"/>
      <c r="DZ45" s="82"/>
      <c r="EA45" s="82"/>
      <c r="EB45" s="82"/>
      <c r="EC45" s="82"/>
      <c r="ED45" s="82"/>
    </row>
    <row r="46" spans="1:134" ht="15" customHeight="1">
      <c r="A46" s="22"/>
      <c r="B46" s="29"/>
      <c r="C46" s="24" t="s">
        <v>118</v>
      </c>
      <c r="D46" s="23" t="s">
        <v>54</v>
      </c>
      <c r="E46" s="23"/>
      <c r="F46" s="25" t="s">
        <v>50</v>
      </c>
      <c r="G46" s="26">
        <v>0</v>
      </c>
      <c r="H46" s="27">
        <v>0.15</v>
      </c>
      <c r="I46" s="27">
        <v>-0.15</v>
      </c>
      <c r="J46" s="39" t="s">
        <v>51</v>
      </c>
      <c r="K46" s="40" t="s">
        <v>52</v>
      </c>
      <c r="L46" s="41">
        <f t="shared" si="0"/>
        <v>0.15</v>
      </c>
      <c r="M46" s="42">
        <f t="shared" si="1"/>
        <v>-0.15</v>
      </c>
      <c r="N46" s="43"/>
      <c r="O46" s="44">
        <f t="shared" si="2"/>
        <v>2.3599999999999999E-2</v>
      </c>
      <c r="P46" s="44">
        <f t="shared" si="3"/>
        <v>1.5100000000000001E-2</v>
      </c>
      <c r="Q46" s="44">
        <f t="shared" si="4"/>
        <v>1.9872413793103446E-2</v>
      </c>
      <c r="R46" s="52">
        <f t="shared" si="5"/>
        <v>2.1305426122610401E-3</v>
      </c>
      <c r="S46" s="53">
        <f t="shared" si="6"/>
        <v>23.468199937544291</v>
      </c>
      <c r="T46" s="53">
        <f t="shared" si="7"/>
        <v>20.359068069956528</v>
      </c>
      <c r="U46" s="53">
        <f t="shared" si="8"/>
        <v>26.577331805132058</v>
      </c>
      <c r="V46" s="53">
        <f t="shared" si="9"/>
        <v>20.359068069956528</v>
      </c>
      <c r="W46" s="54">
        <f t="shared" si="10"/>
        <v>1</v>
      </c>
      <c r="X46" s="55" t="str">
        <f t="shared" si="11"/>
        <v/>
      </c>
      <c r="Y46" s="55" t="str">
        <f t="shared" si="12"/>
        <v/>
      </c>
      <c r="Z46" s="55">
        <f t="shared" si="13"/>
        <v>-1.9872413793103446E-2</v>
      </c>
      <c r="AA46" s="55" t="str">
        <f t="shared" si="14"/>
        <v/>
      </c>
      <c r="AB46" s="61"/>
      <c r="AC46" s="62"/>
      <c r="AD46" s="63"/>
      <c r="AE46" s="64"/>
      <c r="AF46" s="64"/>
      <c r="AG46" s="73"/>
      <c r="AH46" s="74"/>
      <c r="AI46" s="75">
        <v>1.7299999999999999E-2</v>
      </c>
      <c r="AJ46" s="75">
        <v>2.12E-2</v>
      </c>
      <c r="AK46" s="75">
        <v>2.1399999999999999E-2</v>
      </c>
      <c r="AL46" s="75">
        <v>2.3099999999999999E-2</v>
      </c>
      <c r="AM46" s="75">
        <v>2.2499999999999999E-2</v>
      </c>
      <c r="AN46" s="75">
        <v>1.7500000000000002E-2</v>
      </c>
      <c r="AO46" s="75">
        <v>2.3199999999999998E-2</v>
      </c>
      <c r="AP46" s="75">
        <v>1.9E-2</v>
      </c>
      <c r="AQ46" s="75">
        <v>2.2800000000000001E-2</v>
      </c>
      <c r="AR46" s="75">
        <v>2.3599999999999999E-2</v>
      </c>
      <c r="AS46" s="75">
        <v>1.67E-2</v>
      </c>
      <c r="AT46" s="75">
        <v>1.95E-2</v>
      </c>
      <c r="AU46" s="75">
        <v>1.9099999999999999E-2</v>
      </c>
      <c r="AV46" s="75">
        <v>1.8800000000000001E-2</v>
      </c>
      <c r="AW46" s="75">
        <v>1.9099999999999999E-2</v>
      </c>
      <c r="AX46" s="75">
        <v>1.9900000000000001E-2</v>
      </c>
      <c r="AY46" s="75">
        <v>1.9E-2</v>
      </c>
      <c r="AZ46" s="75">
        <v>2.0400000000000001E-2</v>
      </c>
      <c r="BA46" s="75">
        <v>2.18E-2</v>
      </c>
      <c r="BB46" s="75">
        <v>2.1299999999999999E-2</v>
      </c>
      <c r="BC46" s="75">
        <v>1.95E-2</v>
      </c>
      <c r="BD46" s="75">
        <v>1.5100000000000001E-2</v>
      </c>
      <c r="BE46" s="75">
        <v>2.0400000000000001E-2</v>
      </c>
      <c r="BF46" s="75">
        <v>1.9099999999999999E-2</v>
      </c>
      <c r="BG46" s="75">
        <v>1.6899999999999998E-2</v>
      </c>
      <c r="BH46" s="75">
        <v>1.9300000000000001E-2</v>
      </c>
      <c r="BI46" s="75">
        <v>2.07E-2</v>
      </c>
      <c r="BJ46" s="75">
        <v>1.7500000000000002E-2</v>
      </c>
      <c r="BK46" s="75">
        <v>2.06E-2</v>
      </c>
      <c r="BL46" s="75"/>
      <c r="BM46" s="75"/>
      <c r="BN46" s="80"/>
      <c r="BO46" s="81"/>
      <c r="BP46" s="82"/>
      <c r="BQ46" s="82"/>
      <c r="BR46" s="82"/>
      <c r="BS46" s="82"/>
      <c r="BT46" s="82"/>
      <c r="BU46" s="82"/>
      <c r="BV46" s="82"/>
      <c r="BW46" s="82"/>
      <c r="BX46" s="82"/>
      <c r="BY46" s="82"/>
      <c r="BZ46" s="82"/>
      <c r="CA46" s="82"/>
      <c r="CB46" s="82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82"/>
      <c r="CP46" s="82"/>
      <c r="CQ46" s="82"/>
      <c r="CR46" s="82"/>
      <c r="CS46" s="82"/>
      <c r="CT46" s="82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2"/>
      <c r="DG46" s="82"/>
      <c r="DH46" s="82"/>
      <c r="DI46" s="82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2"/>
      <c r="DZ46" s="82"/>
      <c r="EA46" s="82"/>
      <c r="EB46" s="82"/>
      <c r="EC46" s="82"/>
      <c r="ED46" s="82"/>
    </row>
    <row r="47" spans="1:134" ht="15" customHeight="1">
      <c r="A47" s="22"/>
      <c r="B47" s="29"/>
      <c r="C47" s="24" t="s">
        <v>119</v>
      </c>
      <c r="D47" s="23" t="s">
        <v>54</v>
      </c>
      <c r="E47" s="23"/>
      <c r="F47" s="25" t="s">
        <v>50</v>
      </c>
      <c r="G47" s="26">
        <v>0</v>
      </c>
      <c r="H47" s="27">
        <v>0.15</v>
      </c>
      <c r="I47" s="27">
        <v>-0.15</v>
      </c>
      <c r="J47" s="39" t="s">
        <v>51</v>
      </c>
      <c r="K47" s="40" t="s">
        <v>52</v>
      </c>
      <c r="L47" s="41">
        <f t="shared" si="0"/>
        <v>0.15</v>
      </c>
      <c r="M47" s="42">
        <f t="shared" si="1"/>
        <v>-0.15</v>
      </c>
      <c r="N47" s="43"/>
      <c r="O47" s="44">
        <f t="shared" si="2"/>
        <v>2.8999999999999998E-3</v>
      </c>
      <c r="P47" s="44">
        <f t="shared" si="3"/>
        <v>-6.1000000000000004E-3</v>
      </c>
      <c r="Q47" s="44">
        <f t="shared" si="4"/>
        <v>-2.0068965517241379E-3</v>
      </c>
      <c r="R47" s="52">
        <f t="shared" si="5"/>
        <v>2.0570316746090292E-3</v>
      </c>
      <c r="S47" s="53">
        <f t="shared" si="6"/>
        <v>24.306869270500307</v>
      </c>
      <c r="T47" s="53">
        <f t="shared" si="7"/>
        <v>24.632078417981486</v>
      </c>
      <c r="U47" s="53">
        <f t="shared" si="8"/>
        <v>23.981660123019129</v>
      </c>
      <c r="V47" s="53">
        <f t="shared" si="9"/>
        <v>23.981660123019129</v>
      </c>
      <c r="W47" s="54">
        <f t="shared" si="10"/>
        <v>1</v>
      </c>
      <c r="X47" s="55" t="str">
        <f t="shared" si="11"/>
        <v/>
      </c>
      <c r="Y47" s="55" t="str">
        <f t="shared" si="12"/>
        <v/>
      </c>
      <c r="Z47" s="55">
        <f t="shared" si="13"/>
        <v>2.0068965517241379E-3</v>
      </c>
      <c r="AA47" s="55" t="str">
        <f t="shared" si="14"/>
        <v/>
      </c>
      <c r="AB47" s="61"/>
      <c r="AC47" s="62"/>
      <c r="AD47" s="63"/>
      <c r="AE47" s="64"/>
      <c r="AF47" s="64"/>
      <c r="AG47" s="73"/>
      <c r="AH47" s="74"/>
      <c r="AI47" s="75">
        <v>-2.3999999999999998E-3</v>
      </c>
      <c r="AJ47" s="75">
        <v>-2.2000000000000001E-3</v>
      </c>
      <c r="AK47" s="75">
        <v>-3.3E-3</v>
      </c>
      <c r="AL47" s="75">
        <v>5.9999999999999995E-4</v>
      </c>
      <c r="AM47" s="75">
        <v>-1.9E-3</v>
      </c>
      <c r="AN47" s="75">
        <v>-5.4000000000000003E-3</v>
      </c>
      <c r="AO47" s="75">
        <v>0</v>
      </c>
      <c r="AP47" s="75">
        <v>-4.1000000000000003E-3</v>
      </c>
      <c r="AQ47" s="75">
        <v>-2.0000000000000001E-4</v>
      </c>
      <c r="AR47" s="75">
        <v>-2.5000000000000001E-3</v>
      </c>
      <c r="AS47" s="75">
        <v>-1.6999999999999999E-3</v>
      </c>
      <c r="AT47" s="75">
        <v>-2.8999999999999998E-3</v>
      </c>
      <c r="AU47" s="75">
        <v>-2.8E-3</v>
      </c>
      <c r="AV47" s="75">
        <v>-6.1000000000000004E-3</v>
      </c>
      <c r="AW47" s="75">
        <v>-3.8999999999999998E-3</v>
      </c>
      <c r="AX47" s="75">
        <v>-1.6999999999999999E-3</v>
      </c>
      <c r="AY47" s="75">
        <v>-1.4E-3</v>
      </c>
      <c r="AZ47" s="75">
        <v>0</v>
      </c>
      <c r="BA47" s="75">
        <v>1.1000000000000001E-3</v>
      </c>
      <c r="BB47" s="75">
        <v>-1.5E-3</v>
      </c>
      <c r="BC47" s="75">
        <v>-1.2999999999999999E-3</v>
      </c>
      <c r="BD47" s="75">
        <v>-5.7000000000000002E-3</v>
      </c>
      <c r="BE47" s="75">
        <v>-2.0000000000000001E-4</v>
      </c>
      <c r="BF47" s="75">
        <v>-3.3E-3</v>
      </c>
      <c r="BG47" s="75">
        <v>-3.5999999999999999E-3</v>
      </c>
      <c r="BH47" s="75">
        <v>2.8999999999999998E-3</v>
      </c>
      <c r="BI47" s="75">
        <v>-1.1999999999999999E-3</v>
      </c>
      <c r="BJ47" s="75">
        <v>-3.0999999999999999E-3</v>
      </c>
      <c r="BK47" s="75">
        <v>-4.0000000000000002E-4</v>
      </c>
      <c r="BL47" s="75"/>
      <c r="BM47" s="75"/>
      <c r="BN47" s="80"/>
      <c r="BO47" s="81"/>
      <c r="BP47" s="82"/>
      <c r="BQ47" s="82"/>
      <c r="BR47" s="82"/>
      <c r="BS47" s="82"/>
      <c r="BT47" s="82"/>
      <c r="BU47" s="82"/>
      <c r="BV47" s="82"/>
      <c r="BW47" s="82"/>
      <c r="BX47" s="82"/>
      <c r="BY47" s="82"/>
      <c r="BZ47" s="82"/>
      <c r="CA47" s="82"/>
      <c r="CB47" s="82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82"/>
      <c r="CP47" s="82"/>
      <c r="CQ47" s="82"/>
      <c r="CR47" s="82"/>
      <c r="CS47" s="82"/>
      <c r="CT47" s="82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2"/>
      <c r="DG47" s="82"/>
      <c r="DH47" s="82"/>
      <c r="DI47" s="82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2"/>
      <c r="DZ47" s="82"/>
      <c r="EA47" s="82"/>
      <c r="EB47" s="82"/>
      <c r="EC47" s="82"/>
      <c r="ED47" s="82"/>
    </row>
    <row r="48" spans="1:134" ht="15" customHeight="1">
      <c r="A48" s="22"/>
      <c r="B48" s="29" t="s">
        <v>49</v>
      </c>
      <c r="C48" s="30" t="s">
        <v>120</v>
      </c>
      <c r="D48" s="31"/>
      <c r="E48" s="23">
        <v>1.33</v>
      </c>
      <c r="F48" s="25" t="s">
        <v>53</v>
      </c>
      <c r="G48" s="26"/>
      <c r="H48" s="27">
        <v>0.06</v>
      </c>
      <c r="I48" s="27"/>
      <c r="J48" s="39" t="s">
        <v>51</v>
      </c>
      <c r="K48" s="40" t="s">
        <v>52</v>
      </c>
      <c r="L48" s="41">
        <f t="shared" si="0"/>
        <v>0.06</v>
      </c>
      <c r="M48" s="42" t="str">
        <f t="shared" si="1"/>
        <v/>
      </c>
      <c r="N48" s="43"/>
      <c r="O48" s="44">
        <f t="shared" si="2"/>
        <v>9.9599999999999994E-2</v>
      </c>
      <c r="P48" s="44">
        <f t="shared" si="3"/>
        <v>5.74E-2</v>
      </c>
      <c r="Q48" s="44">
        <f t="shared" si="4"/>
        <v>7.7986206896551738E-2</v>
      </c>
      <c r="R48" s="52">
        <f t="shared" si="5"/>
        <v>1.0591226967162349E-2</v>
      </c>
      <c r="S48" s="53">
        <f t="shared" si="6"/>
        <v>-0.56607249730735354</v>
      </c>
      <c r="T48" s="53">
        <f t="shared" si="7"/>
        <v>-0.56607249730735354</v>
      </c>
      <c r="U48" s="53" t="str">
        <f t="shared" si="8"/>
        <v/>
      </c>
      <c r="V48" s="53">
        <f t="shared" si="9"/>
        <v>-0.56607249730735354</v>
      </c>
      <c r="W48" s="54">
        <f t="shared" si="10"/>
        <v>4.4733360168085427E-2</v>
      </c>
      <c r="X48" s="55">
        <f t="shared" si="11"/>
        <v>0.12024520249552952</v>
      </c>
      <c r="Y48" s="55" t="str">
        <f t="shared" si="12"/>
        <v/>
      </c>
      <c r="Z48" s="55" t="str">
        <f t="shared" si="13"/>
        <v/>
      </c>
      <c r="AA48" s="55">
        <f t="shared" si="14"/>
        <v>9.5321042704461137E-2</v>
      </c>
      <c r="AB48" s="61"/>
      <c r="AC48" s="62"/>
      <c r="AD48" s="63"/>
      <c r="AE48" s="64"/>
      <c r="AF48" s="64"/>
      <c r="AG48" s="73"/>
      <c r="AH48" s="74"/>
      <c r="AI48" s="75">
        <v>6.2399999999999997E-2</v>
      </c>
      <c r="AJ48" s="75">
        <v>9.6199999999999994E-2</v>
      </c>
      <c r="AK48" s="75">
        <v>8.8999999999999996E-2</v>
      </c>
      <c r="AL48" s="75">
        <v>8.5199999999999998E-2</v>
      </c>
      <c r="AM48" s="75">
        <v>7.6399999999999996E-2</v>
      </c>
      <c r="AN48" s="75">
        <v>7.7399999999999997E-2</v>
      </c>
      <c r="AO48" s="75">
        <v>8.6400000000000005E-2</v>
      </c>
      <c r="AP48" s="75">
        <v>7.8E-2</v>
      </c>
      <c r="AQ48" s="75">
        <v>8.5000000000000006E-2</v>
      </c>
      <c r="AR48" s="75">
        <v>9.9599999999999994E-2</v>
      </c>
      <c r="AS48" s="75">
        <v>7.22E-2</v>
      </c>
      <c r="AT48" s="75">
        <v>7.6999999999999999E-2</v>
      </c>
      <c r="AU48" s="75">
        <v>9.3399999999999997E-2</v>
      </c>
      <c r="AV48" s="75">
        <v>9.4399999999999998E-2</v>
      </c>
      <c r="AW48" s="75">
        <v>7.7799999999999994E-2</v>
      </c>
      <c r="AX48" s="75">
        <v>6.4799999999999996E-2</v>
      </c>
      <c r="AY48" s="75">
        <v>6.88E-2</v>
      </c>
      <c r="AZ48" s="75">
        <v>6.3200000000000006E-2</v>
      </c>
      <c r="BA48" s="75">
        <v>7.9600000000000004E-2</v>
      </c>
      <c r="BB48" s="75">
        <v>7.0400000000000004E-2</v>
      </c>
      <c r="BC48" s="75">
        <v>7.7600000000000002E-2</v>
      </c>
      <c r="BD48" s="75">
        <v>8.2000000000000003E-2</v>
      </c>
      <c r="BE48" s="75">
        <v>6.9800000000000001E-2</v>
      </c>
      <c r="BF48" s="75">
        <v>7.9799999999999996E-2</v>
      </c>
      <c r="BG48" s="75">
        <v>7.5800000000000006E-2</v>
      </c>
      <c r="BH48" s="75">
        <v>5.74E-2</v>
      </c>
      <c r="BI48" s="75">
        <v>7.6600000000000001E-2</v>
      </c>
      <c r="BJ48" s="75">
        <v>8.14E-2</v>
      </c>
      <c r="BK48" s="75">
        <v>6.4000000000000001E-2</v>
      </c>
      <c r="BL48" s="75"/>
      <c r="BM48" s="75"/>
      <c r="BN48" s="80"/>
      <c r="BO48" s="81"/>
      <c r="BP48" s="82"/>
      <c r="BQ48" s="82"/>
      <c r="BR48" s="82"/>
      <c r="BS48" s="82"/>
      <c r="BT48" s="82"/>
      <c r="BU48" s="82"/>
      <c r="BV48" s="82"/>
      <c r="BW48" s="82"/>
      <c r="BX48" s="82"/>
      <c r="BY48" s="82"/>
      <c r="BZ48" s="82"/>
      <c r="CA48" s="82"/>
      <c r="CB48" s="82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82"/>
      <c r="CO48" s="82"/>
      <c r="CP48" s="82"/>
      <c r="CQ48" s="82"/>
      <c r="CR48" s="82"/>
      <c r="CS48" s="82"/>
      <c r="CT48" s="82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2"/>
      <c r="DG48" s="82"/>
      <c r="DH48" s="82"/>
      <c r="DI48" s="82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2"/>
      <c r="DZ48" s="82"/>
      <c r="EA48" s="82"/>
      <c r="EB48" s="82"/>
      <c r="EC48" s="82"/>
      <c r="ED48" s="82"/>
    </row>
    <row r="49" spans="1:134" ht="15" customHeight="1">
      <c r="A49" s="22"/>
      <c r="B49" s="29"/>
      <c r="C49" s="30" t="s">
        <v>121</v>
      </c>
      <c r="D49" s="23" t="s">
        <v>54</v>
      </c>
      <c r="E49" s="23"/>
      <c r="F49" s="25" t="s">
        <v>50</v>
      </c>
      <c r="G49" s="26">
        <v>1.7549999999999999</v>
      </c>
      <c r="H49" s="27">
        <v>0.15</v>
      </c>
      <c r="I49" s="27">
        <v>-0.15</v>
      </c>
      <c r="J49" s="39" t="s">
        <v>51</v>
      </c>
      <c r="K49" s="40" t="s">
        <v>52</v>
      </c>
      <c r="L49" s="41">
        <f t="shared" si="0"/>
        <v>1.9049999999999998</v>
      </c>
      <c r="M49" s="42">
        <f t="shared" si="1"/>
        <v>1.605</v>
      </c>
      <c r="N49" s="43"/>
      <c r="O49" s="44">
        <f t="shared" si="2"/>
        <v>1.7349000000000001</v>
      </c>
      <c r="P49" s="44">
        <f t="shared" si="3"/>
        <v>1.7236</v>
      </c>
      <c r="Q49" s="44">
        <f t="shared" si="4"/>
        <v>1.7284827586206892</v>
      </c>
      <c r="R49" s="52">
        <f t="shared" si="5"/>
        <v>2.8148926604144825E-3</v>
      </c>
      <c r="S49" s="53">
        <f t="shared" si="6"/>
        <v>17.762666656226134</v>
      </c>
      <c r="T49" s="53">
        <f t="shared" si="7"/>
        <v>20.902779451315332</v>
      </c>
      <c r="U49" s="53">
        <f t="shared" si="8"/>
        <v>14.622553861136915</v>
      </c>
      <c r="V49" s="53">
        <f t="shared" si="9"/>
        <v>14.622553861136915</v>
      </c>
      <c r="W49" s="54">
        <f t="shared" si="10"/>
        <v>1</v>
      </c>
      <c r="X49" s="55" t="str">
        <f t="shared" si="11"/>
        <v/>
      </c>
      <c r="Y49" s="55" t="str">
        <f t="shared" si="12"/>
        <v/>
      </c>
      <c r="Z49" s="55">
        <f t="shared" si="13"/>
        <v>2.6517241379310663E-2</v>
      </c>
      <c r="AA49" s="55" t="str">
        <f t="shared" si="14"/>
        <v/>
      </c>
      <c r="AB49" s="61"/>
      <c r="AC49" s="62"/>
      <c r="AD49" s="63"/>
      <c r="AE49" s="64"/>
      <c r="AF49" s="64"/>
      <c r="AG49" s="73"/>
      <c r="AH49" s="74"/>
      <c r="AI49" s="75">
        <v>1.7349000000000001</v>
      </c>
      <c r="AJ49" s="75">
        <v>1.7236</v>
      </c>
      <c r="AK49" s="75">
        <v>1.7239</v>
      </c>
      <c r="AL49" s="75">
        <v>1.7287999999999999</v>
      </c>
      <c r="AM49" s="75">
        <v>1.7305000000000001</v>
      </c>
      <c r="AN49" s="75">
        <v>1.7321</v>
      </c>
      <c r="AO49" s="75">
        <v>1.7268999999999999</v>
      </c>
      <c r="AP49" s="75">
        <v>1.7246999999999999</v>
      </c>
      <c r="AQ49" s="75">
        <v>1.7267000000000001</v>
      </c>
      <c r="AR49" s="75">
        <v>1.7259</v>
      </c>
      <c r="AS49" s="75">
        <v>1.7279</v>
      </c>
      <c r="AT49" s="75">
        <v>1.7269999999999999</v>
      </c>
      <c r="AU49" s="75">
        <v>1.7290999999999999</v>
      </c>
      <c r="AV49" s="75">
        <v>1.7279</v>
      </c>
      <c r="AW49" s="75">
        <v>1.7342</v>
      </c>
      <c r="AX49" s="75">
        <v>1.7315</v>
      </c>
      <c r="AY49" s="75">
        <v>1.7302000000000002</v>
      </c>
      <c r="AZ49" s="75">
        <v>1.7307999999999999</v>
      </c>
      <c r="BA49" s="75">
        <v>1.7261</v>
      </c>
      <c r="BB49" s="75">
        <v>1.7294</v>
      </c>
      <c r="BC49" s="75">
        <v>1.7262</v>
      </c>
      <c r="BD49" s="75">
        <v>1.7288000000000001</v>
      </c>
      <c r="BE49" s="75">
        <v>1.7312000000000001</v>
      </c>
      <c r="BF49" s="75">
        <v>1.7263999999999999</v>
      </c>
      <c r="BG49" s="75">
        <v>1.7273000000000001</v>
      </c>
      <c r="BH49" s="75">
        <v>1.7282999999999999</v>
      </c>
      <c r="BI49" s="75">
        <v>1.7259</v>
      </c>
      <c r="BJ49" s="75">
        <v>1.7287000000000001</v>
      </c>
      <c r="BK49" s="75">
        <v>1.7311000000000001</v>
      </c>
      <c r="BL49" s="75"/>
      <c r="BM49" s="75"/>
      <c r="BN49" s="80"/>
      <c r="BO49" s="81"/>
      <c r="BP49" s="82"/>
      <c r="BQ49" s="82"/>
      <c r="BR49" s="82"/>
      <c r="BS49" s="82"/>
      <c r="BT49" s="82"/>
      <c r="BU49" s="82"/>
      <c r="BV49" s="82"/>
      <c r="BW49" s="82"/>
      <c r="BX49" s="82"/>
      <c r="BY49" s="82"/>
      <c r="BZ49" s="82"/>
      <c r="CA49" s="82"/>
      <c r="CB49" s="82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82"/>
      <c r="CP49" s="82"/>
      <c r="CQ49" s="82"/>
      <c r="CR49" s="82"/>
      <c r="CS49" s="82"/>
      <c r="CT49" s="82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2"/>
      <c r="DG49" s="82"/>
      <c r="DH49" s="82"/>
      <c r="DI49" s="82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2"/>
      <c r="DZ49" s="82"/>
      <c r="EA49" s="82"/>
      <c r="EB49" s="82"/>
      <c r="EC49" s="82"/>
      <c r="ED49" s="82"/>
    </row>
    <row r="50" spans="1:134" ht="15" customHeight="1">
      <c r="A50" s="22"/>
      <c r="B50" s="29"/>
      <c r="C50" s="30" t="s">
        <v>122</v>
      </c>
      <c r="D50" s="23" t="s">
        <v>54</v>
      </c>
      <c r="E50" s="23"/>
      <c r="F50" s="25" t="s">
        <v>50</v>
      </c>
      <c r="G50" s="26">
        <v>1.7549999999999999</v>
      </c>
      <c r="H50" s="27">
        <v>0.15</v>
      </c>
      <c r="I50" s="27">
        <v>-0.15</v>
      </c>
      <c r="J50" s="39" t="s">
        <v>51</v>
      </c>
      <c r="K50" s="40" t="s">
        <v>52</v>
      </c>
      <c r="L50" s="41">
        <f t="shared" si="0"/>
        <v>1.9049999999999998</v>
      </c>
      <c r="M50" s="42">
        <f t="shared" si="1"/>
        <v>1.605</v>
      </c>
      <c r="N50" s="43"/>
      <c r="O50" s="44">
        <f t="shared" si="2"/>
        <v>1.7617</v>
      </c>
      <c r="P50" s="44">
        <f t="shared" si="3"/>
        <v>1.7471999999999999</v>
      </c>
      <c r="Q50" s="44">
        <f t="shared" si="4"/>
        <v>1.7535206896551727</v>
      </c>
      <c r="R50" s="52">
        <f t="shared" si="5"/>
        <v>3.6952072540314047E-3</v>
      </c>
      <c r="S50" s="53">
        <f t="shared" si="6"/>
        <v>13.53104076786245</v>
      </c>
      <c r="T50" s="53">
        <f t="shared" si="7"/>
        <v>13.664484825090291</v>
      </c>
      <c r="U50" s="53">
        <f t="shared" si="8"/>
        <v>13.397596710634595</v>
      </c>
      <c r="V50" s="53">
        <f t="shared" si="9"/>
        <v>13.397596710634595</v>
      </c>
      <c r="W50" s="54">
        <f t="shared" si="10"/>
        <v>1</v>
      </c>
      <c r="X50" s="55" t="str">
        <f t="shared" si="11"/>
        <v/>
      </c>
      <c r="Y50" s="55" t="str">
        <f t="shared" si="12"/>
        <v/>
      </c>
      <c r="Z50" s="55">
        <f t="shared" si="13"/>
        <v>1.4793103448271783E-3</v>
      </c>
      <c r="AA50" s="55" t="str">
        <f t="shared" si="14"/>
        <v/>
      </c>
      <c r="AB50" s="61"/>
      <c r="AC50" s="62"/>
      <c r="AD50" s="63"/>
      <c r="AE50" s="64"/>
      <c r="AF50" s="64"/>
      <c r="AG50" s="73"/>
      <c r="AH50" s="74"/>
      <c r="AI50" s="75">
        <v>1.7571000000000001</v>
      </c>
      <c r="AJ50" s="75">
        <v>1.7478</v>
      </c>
      <c r="AK50" s="75">
        <v>1.7530000000000001</v>
      </c>
      <c r="AL50" s="75">
        <v>1.7494000000000001</v>
      </c>
      <c r="AM50" s="75">
        <v>1.7597999999999998</v>
      </c>
      <c r="AN50" s="75">
        <v>1.7558</v>
      </c>
      <c r="AO50" s="75">
        <v>1.7537</v>
      </c>
      <c r="AP50" s="75">
        <v>1.7555999999999998</v>
      </c>
      <c r="AQ50" s="75">
        <v>1.7507999999999999</v>
      </c>
      <c r="AR50" s="75">
        <v>1.7533000000000001</v>
      </c>
      <c r="AS50" s="75">
        <v>1.7481</v>
      </c>
      <c r="AT50" s="75">
        <v>1.7583000000000002</v>
      </c>
      <c r="AU50" s="75">
        <v>1.7572999999999999</v>
      </c>
      <c r="AV50" s="75">
        <v>1.7547999999999999</v>
      </c>
      <c r="AW50" s="75">
        <v>1.7617</v>
      </c>
      <c r="AX50" s="75">
        <v>1.7574999999999998</v>
      </c>
      <c r="AY50" s="75">
        <v>1.7549000000000001</v>
      </c>
      <c r="AZ50" s="75">
        <v>1.7553999999999998</v>
      </c>
      <c r="BA50" s="75">
        <v>1.7498</v>
      </c>
      <c r="BB50" s="75">
        <v>1.7548000000000001</v>
      </c>
      <c r="BC50" s="75">
        <v>1.75</v>
      </c>
      <c r="BD50" s="75">
        <v>1.7538</v>
      </c>
      <c r="BE50" s="75">
        <v>1.7553000000000001</v>
      </c>
      <c r="BF50" s="75">
        <v>1.7507999999999999</v>
      </c>
      <c r="BG50" s="75">
        <v>1.7528000000000001</v>
      </c>
      <c r="BH50" s="75">
        <v>1.7471999999999999</v>
      </c>
      <c r="BI50" s="75">
        <v>1.7485999999999999</v>
      </c>
      <c r="BJ50" s="75">
        <v>1.7517</v>
      </c>
      <c r="BK50" s="75">
        <v>1.7530000000000001</v>
      </c>
      <c r="BL50" s="75"/>
      <c r="BM50" s="75"/>
      <c r="BN50" s="80"/>
      <c r="BO50" s="81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82"/>
      <c r="EA50" s="82"/>
      <c r="EB50" s="82"/>
      <c r="EC50" s="82"/>
      <c r="ED50" s="82"/>
    </row>
    <row r="51" spans="1:134" ht="15" customHeight="1">
      <c r="A51" s="22"/>
      <c r="B51" s="29"/>
      <c r="C51" s="30" t="s">
        <v>123</v>
      </c>
      <c r="D51" s="23" t="s">
        <v>54</v>
      </c>
      <c r="E51" s="23"/>
      <c r="F51" s="25" t="s">
        <v>50</v>
      </c>
      <c r="G51" s="26">
        <v>1.7549999999999999</v>
      </c>
      <c r="H51" s="27">
        <v>0.15</v>
      </c>
      <c r="I51" s="27">
        <v>-0.15</v>
      </c>
      <c r="J51" s="39" t="s">
        <v>51</v>
      </c>
      <c r="K51" s="40" t="s">
        <v>52</v>
      </c>
      <c r="L51" s="41">
        <f t="shared" si="0"/>
        <v>1.9049999999999998</v>
      </c>
      <c r="M51" s="42">
        <f t="shared" si="1"/>
        <v>1.605</v>
      </c>
      <c r="N51" s="43"/>
      <c r="O51" s="44">
        <f t="shared" si="2"/>
        <v>1.7772999999999999</v>
      </c>
      <c r="P51" s="44">
        <f t="shared" si="3"/>
        <v>1.7576000000000001</v>
      </c>
      <c r="Q51" s="44">
        <f t="shared" si="4"/>
        <v>1.7680275862068966</v>
      </c>
      <c r="R51" s="52">
        <f t="shared" si="5"/>
        <v>5.0835095126808968E-3</v>
      </c>
      <c r="S51" s="53">
        <f t="shared" si="6"/>
        <v>9.8357246849394482</v>
      </c>
      <c r="T51" s="53">
        <f t="shared" si="7"/>
        <v>8.9814863433371048</v>
      </c>
      <c r="U51" s="53">
        <f t="shared" si="8"/>
        <v>10.689963026541779</v>
      </c>
      <c r="V51" s="53">
        <f t="shared" si="9"/>
        <v>8.9814863433371048</v>
      </c>
      <c r="W51" s="54">
        <f t="shared" si="10"/>
        <v>1</v>
      </c>
      <c r="X51" s="55" t="str">
        <f t="shared" si="11"/>
        <v/>
      </c>
      <c r="Y51" s="55" t="str">
        <f t="shared" si="12"/>
        <v/>
      </c>
      <c r="Z51" s="55">
        <f t="shared" si="13"/>
        <v>-1.3027586206896702E-2</v>
      </c>
      <c r="AA51" s="55" t="str">
        <f t="shared" si="14"/>
        <v/>
      </c>
      <c r="AB51" s="61"/>
      <c r="AC51" s="62"/>
      <c r="AD51" s="63"/>
      <c r="AE51" s="65"/>
      <c r="AF51" s="65"/>
      <c r="AG51" s="77"/>
      <c r="AH51" s="74"/>
      <c r="AI51" s="75">
        <v>1.7661</v>
      </c>
      <c r="AJ51" s="75">
        <v>1.7628999999999999</v>
      </c>
      <c r="AK51" s="75">
        <v>1.7673000000000001</v>
      </c>
      <c r="AL51" s="75">
        <v>1.7645999999999999</v>
      </c>
      <c r="AM51" s="75">
        <v>1.7765</v>
      </c>
      <c r="AN51" s="75">
        <v>1.7704</v>
      </c>
      <c r="AO51" s="75">
        <v>1.7705</v>
      </c>
      <c r="AP51" s="75">
        <v>1.77</v>
      </c>
      <c r="AQ51" s="75">
        <v>1.7684000000000002</v>
      </c>
      <c r="AR51" s="75">
        <v>1.7730000000000001</v>
      </c>
      <c r="AS51" s="75">
        <v>1.7588000000000001</v>
      </c>
      <c r="AT51" s="75">
        <v>1.7772000000000001</v>
      </c>
      <c r="AU51" s="75">
        <v>1.7728999999999999</v>
      </c>
      <c r="AV51" s="75">
        <v>1.7701</v>
      </c>
      <c r="AW51" s="75">
        <v>1.7772999999999999</v>
      </c>
      <c r="AX51" s="75">
        <v>1.7719999999999998</v>
      </c>
      <c r="AY51" s="75">
        <v>1.7728000000000002</v>
      </c>
      <c r="AZ51" s="75">
        <v>1.7705</v>
      </c>
      <c r="BA51" s="75">
        <v>1.7628999999999999</v>
      </c>
      <c r="BB51" s="75">
        <v>1.7691000000000001</v>
      </c>
      <c r="BC51" s="75">
        <v>1.7624</v>
      </c>
      <c r="BD51" s="75">
        <v>1.7665</v>
      </c>
      <c r="BE51" s="75">
        <v>1.7696000000000001</v>
      </c>
      <c r="BF51" s="75">
        <v>1.7645</v>
      </c>
      <c r="BG51" s="75">
        <v>1.7646999999999999</v>
      </c>
      <c r="BH51" s="75">
        <v>1.7576000000000001</v>
      </c>
      <c r="BI51" s="75">
        <v>1.7633000000000001</v>
      </c>
      <c r="BJ51" s="75">
        <v>1.7633000000000001</v>
      </c>
      <c r="BK51" s="75">
        <v>1.7676000000000001</v>
      </c>
      <c r="BL51" s="75"/>
      <c r="BM51" s="75"/>
      <c r="BN51" s="80"/>
      <c r="BO51" s="83"/>
      <c r="BP51" s="82"/>
      <c r="BQ51" s="82"/>
      <c r="BR51" s="82"/>
      <c r="BS51" s="82"/>
      <c r="BT51" s="82"/>
      <c r="BU51" s="82"/>
      <c r="BV51" s="82"/>
      <c r="BW51" s="82"/>
      <c r="BX51" s="82"/>
      <c r="BY51" s="82"/>
      <c r="BZ51" s="82"/>
      <c r="CA51" s="82"/>
      <c r="CB51" s="82"/>
      <c r="CC51" s="82"/>
      <c r="CD51" s="82"/>
      <c r="CE51" s="82"/>
      <c r="CF51" s="82"/>
      <c r="CG51" s="82"/>
      <c r="CH51" s="82"/>
      <c r="CI51" s="82"/>
      <c r="CJ51" s="82"/>
      <c r="CK51" s="82"/>
      <c r="CL51" s="82"/>
      <c r="CM51" s="82"/>
      <c r="CN51" s="82"/>
      <c r="CO51" s="82"/>
      <c r="CP51" s="82"/>
      <c r="CQ51" s="82"/>
      <c r="CR51" s="82"/>
      <c r="CS51" s="82"/>
      <c r="CT51" s="82"/>
      <c r="CU51" s="82"/>
      <c r="CV51" s="82"/>
      <c r="CW51" s="82"/>
      <c r="CX51" s="82"/>
      <c r="CY51" s="82"/>
      <c r="CZ51" s="82"/>
      <c r="DA51" s="82"/>
      <c r="DB51" s="82"/>
      <c r="DC51" s="82"/>
      <c r="DD51" s="82"/>
      <c r="DE51" s="82"/>
      <c r="DF51" s="82"/>
      <c r="DG51" s="82"/>
      <c r="DH51" s="82"/>
      <c r="DI51" s="82"/>
      <c r="DJ51" s="82"/>
      <c r="DK51" s="82"/>
      <c r="DL51" s="82"/>
      <c r="DM51" s="82"/>
      <c r="DN51" s="82"/>
      <c r="DO51" s="82"/>
      <c r="DP51" s="82"/>
      <c r="DQ51" s="82"/>
      <c r="DR51" s="82"/>
      <c r="DS51" s="82"/>
      <c r="DT51" s="82"/>
      <c r="DU51" s="82"/>
      <c r="DV51" s="82"/>
      <c r="DW51" s="82"/>
      <c r="DX51" s="82"/>
      <c r="DY51" s="82"/>
      <c r="DZ51" s="82"/>
      <c r="EA51" s="82"/>
      <c r="EB51" s="82"/>
      <c r="EC51" s="82"/>
      <c r="ED51" s="82"/>
    </row>
    <row r="52" spans="1:134" ht="15" customHeight="1">
      <c r="A52" s="22"/>
      <c r="B52" s="29"/>
      <c r="C52" s="30" t="s">
        <v>124</v>
      </c>
      <c r="D52" s="23" t="s">
        <v>54</v>
      </c>
      <c r="E52" s="23"/>
      <c r="F52" s="25" t="s">
        <v>50</v>
      </c>
      <c r="G52" s="26">
        <v>1.7549999999999999</v>
      </c>
      <c r="H52" s="27">
        <v>0.15</v>
      </c>
      <c r="I52" s="27">
        <v>-0.15</v>
      </c>
      <c r="J52" s="39" t="s">
        <v>51</v>
      </c>
      <c r="K52" s="40" t="s">
        <v>52</v>
      </c>
      <c r="L52" s="41">
        <f t="shared" si="0"/>
        <v>1.9049999999999998</v>
      </c>
      <c r="M52" s="42">
        <f t="shared" si="1"/>
        <v>1.605</v>
      </c>
      <c r="N52" s="43"/>
      <c r="O52" s="44">
        <f t="shared" si="2"/>
        <v>1.7463</v>
      </c>
      <c r="P52" s="44">
        <f t="shared" si="3"/>
        <v>1.7370000000000001</v>
      </c>
      <c r="Q52" s="44">
        <f t="shared" si="4"/>
        <v>1.7406586206896553</v>
      </c>
      <c r="R52" s="52">
        <f t="shared" si="5"/>
        <v>2.5880932365324764E-3</v>
      </c>
      <c r="S52" s="53">
        <f t="shared" si="6"/>
        <v>19.319242171889421</v>
      </c>
      <c r="T52" s="53">
        <f t="shared" si="7"/>
        <v>21.16633937172589</v>
      </c>
      <c r="U52" s="53">
        <f t="shared" si="8"/>
        <v>17.472144972052927</v>
      </c>
      <c r="V52" s="53">
        <f t="shared" si="9"/>
        <v>17.472144972052927</v>
      </c>
      <c r="W52" s="54">
        <f t="shared" si="10"/>
        <v>1</v>
      </c>
      <c r="X52" s="55" t="str">
        <f t="shared" si="11"/>
        <v/>
      </c>
      <c r="Y52" s="55" t="str">
        <f t="shared" si="12"/>
        <v/>
      </c>
      <c r="Z52" s="55">
        <f t="shared" si="13"/>
        <v>1.4341379310344626E-2</v>
      </c>
      <c r="AA52" s="55" t="str">
        <f t="shared" si="14"/>
        <v/>
      </c>
      <c r="AB52" s="61"/>
      <c r="AC52" s="62"/>
      <c r="AD52" s="63"/>
      <c r="AE52" s="65"/>
      <c r="AF52" s="65"/>
      <c r="AG52" s="77"/>
      <c r="AH52" s="74"/>
      <c r="AI52" s="75">
        <v>1.7414000000000001</v>
      </c>
      <c r="AJ52" s="75">
        <v>1.7370999999999999</v>
      </c>
      <c r="AK52" s="75">
        <v>1.7381000000000002</v>
      </c>
      <c r="AL52" s="75">
        <v>1.7436</v>
      </c>
      <c r="AM52" s="75">
        <v>1.7462</v>
      </c>
      <c r="AN52" s="75">
        <v>1.7431000000000001</v>
      </c>
      <c r="AO52" s="75">
        <v>1.7403999999999999</v>
      </c>
      <c r="AP52" s="75">
        <v>1.7397</v>
      </c>
      <c r="AQ52" s="75">
        <v>1.7414000000000001</v>
      </c>
      <c r="AR52" s="75">
        <v>1.7432000000000001</v>
      </c>
      <c r="AS52" s="75">
        <v>1.7378</v>
      </c>
      <c r="AT52" s="75">
        <v>1.7408999999999999</v>
      </c>
      <c r="AU52" s="75">
        <v>1.7432999999999998</v>
      </c>
      <c r="AV52" s="75">
        <v>1.7404999999999999</v>
      </c>
      <c r="AW52" s="75">
        <v>1.7463</v>
      </c>
      <c r="AX52" s="75">
        <v>1.7423999999999999</v>
      </c>
      <c r="AY52" s="75">
        <v>1.7418</v>
      </c>
      <c r="AZ52" s="75">
        <v>1.7433999999999998</v>
      </c>
      <c r="BA52" s="75">
        <v>1.7373000000000001</v>
      </c>
      <c r="BB52" s="75">
        <v>1.7408000000000001</v>
      </c>
      <c r="BC52" s="75">
        <v>1.7370000000000001</v>
      </c>
      <c r="BD52" s="75">
        <v>1.7395</v>
      </c>
      <c r="BE52" s="75">
        <v>1.7410000000000001</v>
      </c>
      <c r="BF52" s="75">
        <v>1.7389999999999999</v>
      </c>
      <c r="BG52" s="75">
        <v>1.7372000000000001</v>
      </c>
      <c r="BH52" s="75">
        <v>1.7372999999999998</v>
      </c>
      <c r="BI52" s="75">
        <v>1.7393000000000001</v>
      </c>
      <c r="BJ52" s="75">
        <v>1.7394000000000001</v>
      </c>
      <c r="BK52" s="75">
        <v>1.7406999999999999</v>
      </c>
      <c r="BL52" s="75"/>
      <c r="BM52" s="75"/>
      <c r="BN52" s="80"/>
      <c r="BO52" s="83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82"/>
      <c r="EA52" s="82"/>
      <c r="EB52" s="82"/>
      <c r="EC52" s="82"/>
      <c r="ED52" s="82"/>
    </row>
    <row r="53" spans="1:134" ht="15" customHeight="1">
      <c r="A53" s="22"/>
      <c r="B53" s="29"/>
      <c r="C53" s="30" t="s">
        <v>125</v>
      </c>
      <c r="D53" s="23" t="s">
        <v>54</v>
      </c>
      <c r="E53" s="23"/>
      <c r="F53" s="25" t="s">
        <v>50</v>
      </c>
      <c r="G53" s="26">
        <v>1.7549999999999999</v>
      </c>
      <c r="H53" s="27">
        <v>0.15</v>
      </c>
      <c r="I53" s="27">
        <v>-0.15</v>
      </c>
      <c r="J53" s="39" t="s">
        <v>51</v>
      </c>
      <c r="K53" s="40" t="s">
        <v>52</v>
      </c>
      <c r="L53" s="41">
        <f t="shared" si="0"/>
        <v>1.9049999999999998</v>
      </c>
      <c r="M53" s="42">
        <f t="shared" si="1"/>
        <v>1.605</v>
      </c>
      <c r="N53" s="43"/>
      <c r="O53" s="44">
        <f t="shared" si="2"/>
        <v>1.7311999999999999</v>
      </c>
      <c r="P53" s="44">
        <f t="shared" si="3"/>
        <v>1.7201</v>
      </c>
      <c r="Q53" s="44">
        <f t="shared" si="4"/>
        <v>1.7264551724137929</v>
      </c>
      <c r="R53" s="52">
        <f t="shared" si="5"/>
        <v>3.0560930014476928E-3</v>
      </c>
      <c r="S53" s="53">
        <f t="shared" si="6"/>
        <v>16.360758647172922</v>
      </c>
      <c r="T53" s="53">
        <f t="shared" si="7"/>
        <v>19.474192212260228</v>
      </c>
      <c r="U53" s="53">
        <f t="shared" si="8"/>
        <v>13.247325082085602</v>
      </c>
      <c r="V53" s="53">
        <f t="shared" si="9"/>
        <v>13.247325082085602</v>
      </c>
      <c r="W53" s="54">
        <f t="shared" si="10"/>
        <v>1</v>
      </c>
      <c r="X53" s="55" t="str">
        <f t="shared" si="11"/>
        <v/>
      </c>
      <c r="Y53" s="55" t="str">
        <f t="shared" si="12"/>
        <v/>
      </c>
      <c r="Z53" s="55">
        <f t="shared" si="13"/>
        <v>2.8544827586207022E-2</v>
      </c>
      <c r="AA53" s="55" t="str">
        <f t="shared" si="14"/>
        <v/>
      </c>
      <c r="AB53" s="61"/>
      <c r="AC53" s="62"/>
      <c r="AD53" s="63"/>
      <c r="AE53" s="65"/>
      <c r="AF53" s="65"/>
      <c r="AG53" s="77"/>
      <c r="AH53" s="74"/>
      <c r="AI53" s="75">
        <v>1.7301</v>
      </c>
      <c r="AJ53" s="75">
        <v>1.7201</v>
      </c>
      <c r="AK53" s="75">
        <v>1.7210000000000001</v>
      </c>
      <c r="AL53" s="75">
        <v>1.7283999999999999</v>
      </c>
      <c r="AM53" s="75">
        <v>1.7290000000000001</v>
      </c>
      <c r="AN53" s="75">
        <v>1.7283999999999999</v>
      </c>
      <c r="AO53" s="75">
        <v>1.7243999999999999</v>
      </c>
      <c r="AP53" s="75">
        <v>1.7237999999999998</v>
      </c>
      <c r="AQ53" s="75">
        <v>1.7258999999999998</v>
      </c>
      <c r="AR53" s="75">
        <v>1.7213000000000001</v>
      </c>
      <c r="AS53" s="75">
        <v>1.7255</v>
      </c>
      <c r="AT53" s="75">
        <v>1.7244000000000002</v>
      </c>
      <c r="AU53" s="75">
        <v>1.7251999999999998</v>
      </c>
      <c r="AV53" s="75">
        <v>1.7229000000000001</v>
      </c>
      <c r="AW53" s="75">
        <v>1.7294</v>
      </c>
      <c r="AX53" s="75">
        <v>1.7307000000000001</v>
      </c>
      <c r="AY53" s="75">
        <v>1.728</v>
      </c>
      <c r="AZ53" s="75">
        <v>1.7301</v>
      </c>
      <c r="BA53" s="75">
        <v>1.7258</v>
      </c>
      <c r="BB53" s="75">
        <v>1.7296</v>
      </c>
      <c r="BC53" s="75">
        <v>1.7268000000000001</v>
      </c>
      <c r="BD53" s="75">
        <v>1.7254</v>
      </c>
      <c r="BE53" s="75">
        <v>1.7271000000000001</v>
      </c>
      <c r="BF53" s="75">
        <v>1.7243999999999999</v>
      </c>
      <c r="BG53" s="75">
        <v>1.7244999999999999</v>
      </c>
      <c r="BH53" s="75">
        <v>1.7311999999999999</v>
      </c>
      <c r="BI53" s="75">
        <v>1.7262</v>
      </c>
      <c r="BJ53" s="75">
        <v>1.7265000000000001</v>
      </c>
      <c r="BK53" s="75">
        <v>1.7311000000000001</v>
      </c>
      <c r="BL53" s="75"/>
      <c r="BM53" s="75"/>
      <c r="BN53" s="80"/>
      <c r="BO53" s="83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82"/>
      <c r="EA53" s="82"/>
      <c r="EB53" s="82"/>
      <c r="EC53" s="82"/>
      <c r="ED53" s="82"/>
    </row>
    <row r="54" spans="1:134" ht="15" customHeight="1">
      <c r="A54" s="22"/>
      <c r="B54" s="29"/>
      <c r="C54" s="30" t="s">
        <v>126</v>
      </c>
      <c r="D54" s="23" t="s">
        <v>54</v>
      </c>
      <c r="E54" s="23"/>
      <c r="F54" s="25" t="s">
        <v>50</v>
      </c>
      <c r="G54" s="26">
        <v>1.7549999999999999</v>
      </c>
      <c r="H54" s="27">
        <v>0.15</v>
      </c>
      <c r="I54" s="27">
        <v>-0.15</v>
      </c>
      <c r="J54" s="39" t="s">
        <v>51</v>
      </c>
      <c r="K54" s="40" t="s">
        <v>52</v>
      </c>
      <c r="L54" s="41">
        <f t="shared" si="0"/>
        <v>1.9049999999999998</v>
      </c>
      <c r="M54" s="42">
        <f t="shared" si="1"/>
        <v>1.605</v>
      </c>
      <c r="N54" s="43"/>
      <c r="O54" s="44">
        <f t="shared" si="2"/>
        <v>1.7263000000000002</v>
      </c>
      <c r="P54" s="44">
        <f t="shared" si="3"/>
        <v>1.7052</v>
      </c>
      <c r="Q54" s="44">
        <f t="shared" si="4"/>
        <v>1.7160068965517248</v>
      </c>
      <c r="R54" s="52">
        <f t="shared" si="5"/>
        <v>5.2956134835812872E-3</v>
      </c>
      <c r="S54" s="53">
        <f t="shared" si="6"/>
        <v>9.4417766997198367</v>
      </c>
      <c r="T54" s="53">
        <f t="shared" si="7"/>
        <v>11.896204536971094</v>
      </c>
      <c r="U54" s="53">
        <f t="shared" si="8"/>
        <v>6.9873488624685711</v>
      </c>
      <c r="V54" s="53">
        <f t="shared" si="9"/>
        <v>6.9873488624685711</v>
      </c>
      <c r="W54" s="54">
        <f t="shared" si="10"/>
        <v>1</v>
      </c>
      <c r="X54" s="55" t="str">
        <f t="shared" si="11"/>
        <v/>
      </c>
      <c r="Y54" s="55" t="str">
        <f t="shared" si="12"/>
        <v/>
      </c>
      <c r="Z54" s="55">
        <f t="shared" si="13"/>
        <v>3.8993103448275113E-2</v>
      </c>
      <c r="AA54" s="55" t="str">
        <f t="shared" si="14"/>
        <v/>
      </c>
      <c r="AB54" s="61"/>
      <c r="AC54" s="62"/>
      <c r="AD54" s="63"/>
      <c r="AE54" s="64"/>
      <c r="AF54" s="64"/>
      <c r="AG54" s="73"/>
      <c r="AH54" s="74"/>
      <c r="AI54" s="75">
        <v>1.7238</v>
      </c>
      <c r="AJ54" s="75">
        <v>1.7068999999999999</v>
      </c>
      <c r="AK54" s="75">
        <v>1.7105000000000001</v>
      </c>
      <c r="AL54" s="75">
        <v>1.7123999999999999</v>
      </c>
      <c r="AM54" s="75">
        <v>1.7168000000000001</v>
      </c>
      <c r="AN54" s="75">
        <v>1.7162999999999999</v>
      </c>
      <c r="AO54" s="75">
        <v>1.7118</v>
      </c>
      <c r="AP54" s="75">
        <v>1.7160000000000002</v>
      </c>
      <c r="AQ54" s="75">
        <v>1.7124999999999999</v>
      </c>
      <c r="AR54" s="75">
        <v>1.7052</v>
      </c>
      <c r="AS54" s="75">
        <v>1.7189000000000001</v>
      </c>
      <c r="AT54" s="75">
        <v>1.7164999999999999</v>
      </c>
      <c r="AU54" s="75">
        <v>1.7082999999999999</v>
      </c>
      <c r="AV54" s="75">
        <v>1.7078</v>
      </c>
      <c r="AW54" s="75">
        <v>1.7161</v>
      </c>
      <c r="AX54" s="75">
        <v>1.7225999999999999</v>
      </c>
      <c r="AY54" s="75">
        <v>1.7206000000000001</v>
      </c>
      <c r="AZ54" s="75">
        <v>1.7234</v>
      </c>
      <c r="BA54" s="75">
        <v>1.7152000000000001</v>
      </c>
      <c r="BB54" s="75">
        <v>1.7198</v>
      </c>
      <c r="BC54" s="75">
        <v>1.7162000000000002</v>
      </c>
      <c r="BD54" s="75">
        <v>1.714</v>
      </c>
      <c r="BE54" s="75">
        <v>1.7201</v>
      </c>
      <c r="BF54" s="75">
        <v>1.7151000000000001</v>
      </c>
      <c r="BG54" s="75">
        <v>1.7170999999999998</v>
      </c>
      <c r="BH54" s="75">
        <v>1.7263000000000002</v>
      </c>
      <c r="BI54" s="75">
        <v>1.7166999999999999</v>
      </c>
      <c r="BJ54" s="75">
        <v>1.7143000000000002</v>
      </c>
      <c r="BK54" s="75">
        <v>1.7230000000000001</v>
      </c>
      <c r="BL54" s="75"/>
      <c r="BM54" s="75"/>
      <c r="BN54" s="80"/>
      <c r="BO54" s="81"/>
      <c r="BP54" s="82"/>
      <c r="BQ54" s="82"/>
      <c r="BR54" s="82"/>
      <c r="BS54" s="82"/>
      <c r="BT54" s="82"/>
      <c r="BU54" s="82"/>
      <c r="BV54" s="82"/>
      <c r="BW54" s="82"/>
      <c r="BX54" s="82"/>
      <c r="BY54" s="82"/>
      <c r="BZ54" s="82"/>
      <c r="CA54" s="82"/>
      <c r="CB54" s="82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82"/>
      <c r="CO54" s="82"/>
      <c r="CP54" s="82"/>
      <c r="CQ54" s="82"/>
      <c r="CR54" s="82"/>
      <c r="CS54" s="82"/>
      <c r="CT54" s="82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2"/>
      <c r="DG54" s="82"/>
      <c r="DH54" s="82"/>
      <c r="DI54" s="82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2"/>
      <c r="DZ54" s="82"/>
      <c r="EA54" s="82"/>
      <c r="EB54" s="82"/>
      <c r="EC54" s="82"/>
      <c r="ED54" s="82"/>
    </row>
    <row r="55" spans="1:134" ht="15" customHeight="1">
      <c r="A55" s="22"/>
      <c r="B55" s="29"/>
      <c r="C55" s="30" t="s">
        <v>127</v>
      </c>
      <c r="D55" s="23" t="s">
        <v>54</v>
      </c>
      <c r="E55" s="23"/>
      <c r="F55" s="25" t="s">
        <v>50</v>
      </c>
      <c r="G55" s="26">
        <v>1.7549999999999999</v>
      </c>
      <c r="H55" s="27">
        <v>0.15</v>
      </c>
      <c r="I55" s="27">
        <v>-0.15</v>
      </c>
      <c r="J55" s="39" t="s">
        <v>51</v>
      </c>
      <c r="K55" s="40" t="s">
        <v>52</v>
      </c>
      <c r="L55" s="41">
        <f t="shared" si="0"/>
        <v>1.9049999999999998</v>
      </c>
      <c r="M55" s="42">
        <f t="shared" si="1"/>
        <v>1.605</v>
      </c>
      <c r="N55" s="43"/>
      <c r="O55" s="44">
        <f t="shared" si="2"/>
        <v>1.7361</v>
      </c>
      <c r="P55" s="44">
        <f t="shared" si="3"/>
        <v>1.7239</v>
      </c>
      <c r="Q55" s="44">
        <f t="shared" si="4"/>
        <v>1.7309137931034484</v>
      </c>
      <c r="R55" s="52">
        <f t="shared" si="5"/>
        <v>3.2114442832215837E-3</v>
      </c>
      <c r="S55" s="53">
        <f t="shared" si="6"/>
        <v>15.569318845489088</v>
      </c>
      <c r="T55" s="53">
        <f t="shared" si="7"/>
        <v>18.06935774516127</v>
      </c>
      <c r="U55" s="53">
        <f t="shared" si="8"/>
        <v>13.06927994581689</v>
      </c>
      <c r="V55" s="53">
        <f t="shared" si="9"/>
        <v>13.06927994581689</v>
      </c>
      <c r="W55" s="54">
        <f t="shared" si="10"/>
        <v>1</v>
      </c>
      <c r="X55" s="55" t="str">
        <f t="shared" si="11"/>
        <v/>
      </c>
      <c r="Y55" s="55" t="str">
        <f t="shared" si="12"/>
        <v/>
      </c>
      <c r="Z55" s="55">
        <f t="shared" si="13"/>
        <v>2.4086206896551499E-2</v>
      </c>
      <c r="AA55" s="55" t="str">
        <f t="shared" si="14"/>
        <v/>
      </c>
      <c r="AB55" s="61"/>
      <c r="AC55" s="62"/>
      <c r="AD55" s="63"/>
      <c r="AE55" s="64"/>
      <c r="AF55" s="64"/>
      <c r="AG55" s="73"/>
      <c r="AH55" s="74"/>
      <c r="AI55" s="75">
        <v>1.7353000000000001</v>
      </c>
      <c r="AJ55" s="75">
        <v>1.7239</v>
      </c>
      <c r="AK55" s="75">
        <v>1.7273000000000001</v>
      </c>
      <c r="AL55" s="75">
        <v>1.728</v>
      </c>
      <c r="AM55" s="75">
        <v>1.7330999999999999</v>
      </c>
      <c r="AN55" s="75">
        <v>1.7331000000000001</v>
      </c>
      <c r="AO55" s="75">
        <v>1.7275</v>
      </c>
      <c r="AP55" s="75">
        <v>1.7284999999999999</v>
      </c>
      <c r="AQ55" s="75">
        <v>1.7252999999999998</v>
      </c>
      <c r="AR55" s="75">
        <v>1.7256</v>
      </c>
      <c r="AS55" s="75">
        <v>1.7303999999999999</v>
      </c>
      <c r="AT55" s="75">
        <v>1.7323</v>
      </c>
      <c r="AU55" s="75">
        <v>1.7298</v>
      </c>
      <c r="AV55" s="75">
        <v>1.7293000000000001</v>
      </c>
      <c r="AW55" s="75">
        <v>1.7361</v>
      </c>
      <c r="AX55" s="75">
        <v>1.7347000000000001</v>
      </c>
      <c r="AY55" s="75">
        <v>1.7348000000000001</v>
      </c>
      <c r="AZ55" s="75">
        <v>1.7337</v>
      </c>
      <c r="BA55" s="75">
        <v>1.7287999999999999</v>
      </c>
      <c r="BB55" s="75">
        <v>1.7333000000000001</v>
      </c>
      <c r="BC55" s="75">
        <v>1.7294</v>
      </c>
      <c r="BD55" s="75">
        <v>1.7338</v>
      </c>
      <c r="BE55" s="75">
        <v>1.7332000000000001</v>
      </c>
      <c r="BF55" s="75">
        <v>1.7301</v>
      </c>
      <c r="BG55" s="75">
        <v>1.7319</v>
      </c>
      <c r="BH55" s="75">
        <v>1.7332999999999998</v>
      </c>
      <c r="BI55" s="75">
        <v>1.7293000000000001</v>
      </c>
      <c r="BJ55" s="75">
        <v>1.7314000000000001</v>
      </c>
      <c r="BK55" s="75">
        <v>1.7333000000000001</v>
      </c>
      <c r="BL55" s="75"/>
      <c r="BM55" s="75"/>
      <c r="BN55" s="80"/>
      <c r="BO55" s="81"/>
      <c r="BP55" s="82"/>
      <c r="BQ55" s="82"/>
      <c r="BR55" s="82"/>
      <c r="BS55" s="82"/>
      <c r="BT55" s="82"/>
      <c r="BU55" s="82"/>
      <c r="BV55" s="82"/>
      <c r="BW55" s="82"/>
      <c r="BX55" s="82"/>
      <c r="BY55" s="82"/>
      <c r="BZ55" s="82"/>
      <c r="CA55" s="82"/>
      <c r="CB55" s="82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82"/>
      <c r="CO55" s="82"/>
      <c r="CP55" s="82"/>
      <c r="CQ55" s="82"/>
      <c r="CR55" s="82"/>
      <c r="CS55" s="82"/>
      <c r="CT55" s="82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2"/>
      <c r="DG55" s="82"/>
      <c r="DH55" s="82"/>
      <c r="DI55" s="82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2"/>
      <c r="DZ55" s="82"/>
      <c r="EA55" s="82"/>
      <c r="EB55" s="82"/>
      <c r="EC55" s="82"/>
      <c r="ED55" s="82"/>
    </row>
    <row r="56" spans="1:134" ht="15" customHeight="1">
      <c r="A56" s="22"/>
      <c r="B56" s="29"/>
      <c r="C56" s="30" t="s">
        <v>128</v>
      </c>
      <c r="D56" s="23" t="s">
        <v>54</v>
      </c>
      <c r="E56" s="23"/>
      <c r="F56" s="25" t="s">
        <v>50</v>
      </c>
      <c r="G56" s="26">
        <v>1.7549999999999999</v>
      </c>
      <c r="H56" s="27">
        <v>0.15</v>
      </c>
      <c r="I56" s="27">
        <v>-0.15</v>
      </c>
      <c r="J56" s="39" t="s">
        <v>51</v>
      </c>
      <c r="K56" s="40" t="s">
        <v>52</v>
      </c>
      <c r="L56" s="41">
        <f t="shared" si="0"/>
        <v>1.9049999999999998</v>
      </c>
      <c r="M56" s="42">
        <f t="shared" si="1"/>
        <v>1.605</v>
      </c>
      <c r="N56" s="43"/>
      <c r="O56" s="44">
        <f t="shared" si="2"/>
        <v>1.7473999999999998</v>
      </c>
      <c r="P56" s="44">
        <f t="shared" si="3"/>
        <v>1.7355</v>
      </c>
      <c r="Q56" s="44">
        <f t="shared" si="4"/>
        <v>1.7403310344827587</v>
      </c>
      <c r="R56" s="52">
        <f t="shared" si="5"/>
        <v>2.9646854143249644E-3</v>
      </c>
      <c r="S56" s="53">
        <f t="shared" si="6"/>
        <v>16.865195800676414</v>
      </c>
      <c r="T56" s="53">
        <f t="shared" si="7"/>
        <v>18.514495638287357</v>
      </c>
      <c r="U56" s="53">
        <f t="shared" si="8"/>
        <v>15.215895963065451</v>
      </c>
      <c r="V56" s="53">
        <f t="shared" si="9"/>
        <v>15.215895963065451</v>
      </c>
      <c r="W56" s="54">
        <f t="shared" si="10"/>
        <v>1</v>
      </c>
      <c r="X56" s="55" t="str">
        <f t="shared" si="11"/>
        <v/>
      </c>
      <c r="Y56" s="55" t="str">
        <f t="shared" si="12"/>
        <v/>
      </c>
      <c r="Z56" s="55">
        <f t="shared" si="13"/>
        <v>1.4668965517241173E-2</v>
      </c>
      <c r="AA56" s="55" t="str">
        <f t="shared" si="14"/>
        <v/>
      </c>
      <c r="AB56" s="61"/>
      <c r="AC56" s="62"/>
      <c r="AD56" s="63"/>
      <c r="AE56" s="64"/>
      <c r="AF56" s="64"/>
      <c r="AG56" s="73"/>
      <c r="AH56" s="74"/>
      <c r="AI56" s="75">
        <v>1.7414000000000001</v>
      </c>
      <c r="AJ56" s="75">
        <v>1.7364999999999999</v>
      </c>
      <c r="AK56" s="75">
        <v>1.7374999999999998</v>
      </c>
      <c r="AL56" s="75">
        <v>1.7427999999999999</v>
      </c>
      <c r="AM56" s="75">
        <v>1.7473999999999998</v>
      </c>
      <c r="AN56" s="75">
        <v>1.7442</v>
      </c>
      <c r="AO56" s="75">
        <v>1.7424999999999999</v>
      </c>
      <c r="AP56" s="75">
        <v>1.7355</v>
      </c>
      <c r="AQ56" s="75">
        <v>1.7387000000000001</v>
      </c>
      <c r="AR56" s="75">
        <v>1.7423999999999999</v>
      </c>
      <c r="AS56" s="75">
        <v>1.7378</v>
      </c>
      <c r="AT56" s="75">
        <v>1.7402000000000002</v>
      </c>
      <c r="AU56" s="75">
        <v>1.7427999999999999</v>
      </c>
      <c r="AV56" s="75">
        <v>1.7409000000000001</v>
      </c>
      <c r="AW56" s="75">
        <v>1.7462</v>
      </c>
      <c r="AX56" s="75">
        <v>1.7418</v>
      </c>
      <c r="AY56" s="75">
        <v>1.7388000000000001</v>
      </c>
      <c r="AZ56" s="75">
        <v>1.7437</v>
      </c>
      <c r="BA56" s="75">
        <v>1.7375</v>
      </c>
      <c r="BB56" s="75">
        <v>1.7414000000000001</v>
      </c>
      <c r="BC56" s="75">
        <v>1.7367000000000001</v>
      </c>
      <c r="BD56" s="75">
        <v>1.7392000000000001</v>
      </c>
      <c r="BE56" s="75">
        <v>1.7383</v>
      </c>
      <c r="BF56" s="75">
        <v>1.7384999999999999</v>
      </c>
      <c r="BG56" s="75">
        <v>1.7374999999999998</v>
      </c>
      <c r="BH56" s="75">
        <v>1.7376</v>
      </c>
      <c r="BI56" s="75">
        <v>1.7392000000000001</v>
      </c>
      <c r="BJ56" s="75">
        <v>1.74</v>
      </c>
      <c r="BK56" s="75">
        <v>1.7425999999999999</v>
      </c>
      <c r="BL56" s="75"/>
      <c r="BM56" s="75"/>
      <c r="BN56" s="80"/>
      <c r="BO56" s="81"/>
      <c r="BP56" s="82"/>
      <c r="BQ56" s="82"/>
      <c r="BR56" s="82"/>
      <c r="BS56" s="82"/>
      <c r="BT56" s="82"/>
      <c r="BU56" s="82"/>
      <c r="BV56" s="82"/>
      <c r="BW56" s="82"/>
      <c r="BX56" s="82"/>
      <c r="BY56" s="82"/>
      <c r="BZ56" s="82"/>
      <c r="CA56" s="82"/>
      <c r="CB56" s="82"/>
      <c r="CC56" s="82"/>
      <c r="CD56" s="82"/>
      <c r="CE56" s="82"/>
      <c r="CF56" s="82"/>
      <c r="CG56" s="82"/>
      <c r="CH56" s="82"/>
      <c r="CI56" s="82"/>
      <c r="CJ56" s="82"/>
      <c r="CK56" s="82"/>
      <c r="CL56" s="82"/>
      <c r="CM56" s="82"/>
      <c r="CN56" s="82"/>
      <c r="CO56" s="82"/>
      <c r="CP56" s="82"/>
      <c r="CQ56" s="82"/>
      <c r="CR56" s="82"/>
      <c r="CS56" s="82"/>
      <c r="CT56" s="82"/>
      <c r="CU56" s="82"/>
      <c r="CV56" s="82"/>
      <c r="CW56" s="82"/>
      <c r="CX56" s="82"/>
      <c r="CY56" s="82"/>
      <c r="CZ56" s="82"/>
      <c r="DA56" s="82"/>
      <c r="DB56" s="82"/>
      <c r="DC56" s="82"/>
      <c r="DD56" s="82"/>
      <c r="DE56" s="82"/>
      <c r="DF56" s="82"/>
      <c r="DG56" s="82"/>
      <c r="DH56" s="82"/>
      <c r="DI56" s="82"/>
      <c r="DJ56" s="82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 s="82"/>
      <c r="DX56" s="82"/>
      <c r="DY56" s="82"/>
      <c r="DZ56" s="82"/>
      <c r="EA56" s="82"/>
      <c r="EB56" s="82"/>
      <c r="EC56" s="82"/>
      <c r="ED56" s="82"/>
    </row>
    <row r="57" spans="1:134" ht="15" customHeight="1">
      <c r="A57" s="22"/>
      <c r="B57" s="29"/>
      <c r="C57" s="30" t="s">
        <v>129</v>
      </c>
      <c r="D57" s="23" t="s">
        <v>54</v>
      </c>
      <c r="E57" s="23"/>
      <c r="F57" s="25" t="s">
        <v>50</v>
      </c>
      <c r="G57" s="26">
        <v>1.7549999999999999</v>
      </c>
      <c r="H57" s="27">
        <v>0.15</v>
      </c>
      <c r="I57" s="27">
        <v>-0.15</v>
      </c>
      <c r="J57" s="39" t="s">
        <v>51</v>
      </c>
      <c r="K57" s="40" t="s">
        <v>52</v>
      </c>
      <c r="L57" s="41">
        <f t="shared" si="0"/>
        <v>1.9049999999999998</v>
      </c>
      <c r="M57" s="42">
        <f t="shared" si="1"/>
        <v>1.605</v>
      </c>
      <c r="N57" s="43"/>
      <c r="O57" s="44">
        <f t="shared" si="2"/>
        <v>1.7742999999999998</v>
      </c>
      <c r="P57" s="44">
        <f t="shared" si="3"/>
        <v>1.7565</v>
      </c>
      <c r="Q57" s="44">
        <f t="shared" si="4"/>
        <v>1.7657931034482766</v>
      </c>
      <c r="R57" s="52">
        <f t="shared" si="5"/>
        <v>4.4876760637552584E-3</v>
      </c>
      <c r="S57" s="53">
        <f t="shared" si="6"/>
        <v>11.141624147924865</v>
      </c>
      <c r="T57" s="53">
        <f t="shared" si="7"/>
        <v>10.339939467855723</v>
      </c>
      <c r="U57" s="53">
        <f t="shared" si="8"/>
        <v>11.943308827993995</v>
      </c>
      <c r="V57" s="53">
        <f t="shared" si="9"/>
        <v>10.339939467855723</v>
      </c>
      <c r="W57" s="54">
        <f t="shared" si="10"/>
        <v>1</v>
      </c>
      <c r="X57" s="55" t="str">
        <f t="shared" si="11"/>
        <v/>
      </c>
      <c r="Y57" s="55" t="str">
        <f t="shared" si="12"/>
        <v/>
      </c>
      <c r="Z57" s="55">
        <f t="shared" si="13"/>
        <v>-1.0793103448276664E-2</v>
      </c>
      <c r="AA57" s="55" t="str">
        <f t="shared" si="14"/>
        <v/>
      </c>
      <c r="AB57" s="61"/>
      <c r="AC57" s="62"/>
      <c r="AD57" s="63"/>
      <c r="AE57" s="65"/>
      <c r="AF57" s="65"/>
      <c r="AG57" s="77"/>
      <c r="AH57" s="74"/>
      <c r="AI57" s="75">
        <v>1.7661</v>
      </c>
      <c r="AJ57" s="75">
        <v>1.7626999999999999</v>
      </c>
      <c r="AK57" s="75">
        <v>1.7642000000000002</v>
      </c>
      <c r="AL57" s="75">
        <v>1.7721</v>
      </c>
      <c r="AM57" s="75">
        <v>1.7742999999999998</v>
      </c>
      <c r="AN57" s="75">
        <v>1.7634000000000001</v>
      </c>
      <c r="AO57" s="75">
        <v>1.7721</v>
      </c>
      <c r="AP57" s="75">
        <v>1.7589999999999999</v>
      </c>
      <c r="AQ57" s="75">
        <v>1.7679</v>
      </c>
      <c r="AR57" s="75">
        <v>1.7698</v>
      </c>
      <c r="AS57" s="75">
        <v>1.7596000000000001</v>
      </c>
      <c r="AT57" s="75">
        <v>1.7646000000000002</v>
      </c>
      <c r="AU57" s="75">
        <v>1.7650999999999999</v>
      </c>
      <c r="AV57" s="75">
        <v>1.7616000000000001</v>
      </c>
      <c r="AW57" s="75">
        <v>1.7694000000000001</v>
      </c>
      <c r="AX57" s="75">
        <v>1.7686999999999999</v>
      </c>
      <c r="AY57" s="75">
        <v>1.7652000000000001</v>
      </c>
      <c r="AZ57" s="75">
        <v>1.7706999999999999</v>
      </c>
      <c r="BA57" s="75">
        <v>1.7683</v>
      </c>
      <c r="BB57" s="75">
        <v>1.7697000000000001</v>
      </c>
      <c r="BC57" s="75">
        <v>1.7628000000000001</v>
      </c>
      <c r="BD57" s="75">
        <v>1.7565</v>
      </c>
      <c r="BE57" s="75">
        <v>1.7687000000000002</v>
      </c>
      <c r="BF57" s="75">
        <v>1.762</v>
      </c>
      <c r="BG57" s="75">
        <v>1.7591999999999999</v>
      </c>
      <c r="BH57" s="75">
        <v>1.7669999999999999</v>
      </c>
      <c r="BI57" s="75">
        <v>1.7652999999999999</v>
      </c>
      <c r="BJ57" s="75">
        <v>1.7616000000000001</v>
      </c>
      <c r="BK57" s="75">
        <v>1.7704</v>
      </c>
      <c r="BL57" s="75"/>
      <c r="BM57" s="75"/>
      <c r="BN57" s="80"/>
      <c r="BO57" s="83"/>
      <c r="BP57" s="82"/>
      <c r="BQ57" s="82"/>
      <c r="BR57" s="82"/>
      <c r="BS57" s="82"/>
      <c r="BT57" s="82"/>
      <c r="BU57" s="82"/>
      <c r="BV57" s="82"/>
      <c r="BW57" s="82"/>
      <c r="BX57" s="82"/>
      <c r="BY57" s="82"/>
      <c r="BZ57" s="82"/>
      <c r="CA57" s="82"/>
      <c r="CB57" s="82"/>
      <c r="CC57" s="82"/>
      <c r="CD57" s="82"/>
      <c r="CE57" s="82"/>
      <c r="CF57" s="82"/>
      <c r="CG57" s="82"/>
      <c r="CH57" s="82"/>
      <c r="CI57" s="82"/>
      <c r="CJ57" s="82"/>
      <c r="CK57" s="82"/>
      <c r="CL57" s="82"/>
      <c r="CM57" s="82"/>
      <c r="CN57" s="82"/>
      <c r="CO57" s="82"/>
      <c r="CP57" s="82"/>
      <c r="CQ57" s="82"/>
      <c r="CR57" s="82"/>
      <c r="CS57" s="82"/>
      <c r="CT57" s="82"/>
      <c r="CU57" s="82"/>
      <c r="CV57" s="82"/>
      <c r="CW57" s="82"/>
      <c r="CX57" s="82"/>
      <c r="CY57" s="82"/>
      <c r="CZ57" s="82"/>
      <c r="DA57" s="82"/>
      <c r="DB57" s="82"/>
      <c r="DC57" s="82"/>
      <c r="DD57" s="82"/>
      <c r="DE57" s="82"/>
      <c r="DF57" s="82"/>
      <c r="DG57" s="82"/>
      <c r="DH57" s="82"/>
      <c r="DI57" s="82"/>
      <c r="DJ57" s="82"/>
      <c r="DK57" s="82"/>
      <c r="DL57" s="82"/>
      <c r="DM57" s="82"/>
      <c r="DN57" s="82"/>
      <c r="DO57" s="82"/>
      <c r="DP57" s="82"/>
      <c r="DQ57" s="82"/>
      <c r="DR57" s="82"/>
      <c r="DS57" s="82"/>
      <c r="DT57" s="82"/>
      <c r="DU57" s="82"/>
      <c r="DV57" s="82"/>
      <c r="DW57" s="82"/>
      <c r="DX57" s="82"/>
      <c r="DY57" s="82"/>
      <c r="DZ57" s="82"/>
      <c r="EA57" s="82"/>
      <c r="EB57" s="82"/>
      <c r="EC57" s="82"/>
      <c r="ED57" s="82"/>
    </row>
    <row r="58" spans="1:134" ht="15" customHeight="1">
      <c r="A58" s="22"/>
      <c r="B58" s="29"/>
      <c r="C58" s="30" t="s">
        <v>130</v>
      </c>
      <c r="D58" s="23" t="s">
        <v>54</v>
      </c>
      <c r="E58" s="23"/>
      <c r="F58" s="25" t="s">
        <v>50</v>
      </c>
      <c r="G58" s="26">
        <v>1.7549999999999999</v>
      </c>
      <c r="H58" s="27">
        <v>0.15</v>
      </c>
      <c r="I58" s="27">
        <v>-0.15</v>
      </c>
      <c r="J58" s="39" t="s">
        <v>51</v>
      </c>
      <c r="K58" s="40" t="s">
        <v>52</v>
      </c>
      <c r="L58" s="41">
        <f t="shared" si="0"/>
        <v>1.9049999999999998</v>
      </c>
      <c r="M58" s="42">
        <f t="shared" si="1"/>
        <v>1.605</v>
      </c>
      <c r="N58" s="43"/>
      <c r="O58" s="44">
        <f t="shared" si="2"/>
        <v>1.7574999999999998</v>
      </c>
      <c r="P58" s="44">
        <f t="shared" si="3"/>
        <v>1.7423999999999999</v>
      </c>
      <c r="Q58" s="44">
        <f t="shared" si="4"/>
        <v>1.7507034482758623</v>
      </c>
      <c r="R58" s="52">
        <f t="shared" si="5"/>
        <v>4.3588565635808672E-3</v>
      </c>
      <c r="S58" s="53">
        <f t="shared" si="6"/>
        <v>11.470898220822443</v>
      </c>
      <c r="T58" s="53">
        <f t="shared" si="7"/>
        <v>11.799466937676311</v>
      </c>
      <c r="U58" s="53">
        <f t="shared" si="8"/>
        <v>11.142329503968561</v>
      </c>
      <c r="V58" s="53">
        <f t="shared" si="9"/>
        <v>11.142329503968561</v>
      </c>
      <c r="W58" s="54">
        <f t="shared" si="10"/>
        <v>1</v>
      </c>
      <c r="X58" s="55" t="str">
        <f t="shared" si="11"/>
        <v/>
      </c>
      <c r="Y58" s="55" t="str">
        <f t="shared" si="12"/>
        <v/>
      </c>
      <c r="Z58" s="55">
        <f t="shared" si="13"/>
        <v>4.296551724137565E-3</v>
      </c>
      <c r="AA58" s="55" t="str">
        <f t="shared" si="14"/>
        <v/>
      </c>
      <c r="AB58" s="61"/>
      <c r="AC58" s="62"/>
      <c r="AD58" s="63"/>
      <c r="AE58" s="65"/>
      <c r="AF58" s="65"/>
      <c r="AG58" s="77"/>
      <c r="AH58" s="74"/>
      <c r="AI58" s="75">
        <v>1.7526000000000002</v>
      </c>
      <c r="AJ58" s="75">
        <v>1.7466999999999999</v>
      </c>
      <c r="AK58" s="75">
        <v>1.7469999999999999</v>
      </c>
      <c r="AL58" s="75">
        <v>1.756</v>
      </c>
      <c r="AM58" s="75">
        <v>1.7574999999999998</v>
      </c>
      <c r="AN58" s="75">
        <v>1.7474000000000001</v>
      </c>
      <c r="AO58" s="75">
        <v>1.7564</v>
      </c>
      <c r="AP58" s="75">
        <v>1.7435999999999998</v>
      </c>
      <c r="AQ58" s="75">
        <v>1.7524999999999999</v>
      </c>
      <c r="AR58" s="75">
        <v>1.7524</v>
      </c>
      <c r="AS58" s="75">
        <v>1.7464</v>
      </c>
      <c r="AT58" s="75">
        <v>1.7503000000000002</v>
      </c>
      <c r="AU58" s="75">
        <v>1.7519</v>
      </c>
      <c r="AV58" s="75">
        <v>1.7447999999999999</v>
      </c>
      <c r="AW58" s="75">
        <v>1.7545999999999999</v>
      </c>
      <c r="AX58" s="75">
        <v>1.7536999999999998</v>
      </c>
      <c r="AY58" s="75">
        <v>1.7518</v>
      </c>
      <c r="AZ58" s="75">
        <v>1.7564</v>
      </c>
      <c r="BA58" s="75">
        <v>1.7537</v>
      </c>
      <c r="BB58" s="75">
        <v>1.7531000000000001</v>
      </c>
      <c r="BC58" s="75">
        <v>1.7479</v>
      </c>
      <c r="BD58" s="75">
        <v>1.7423999999999999</v>
      </c>
      <c r="BE58" s="75">
        <v>1.7550000000000001</v>
      </c>
      <c r="BF58" s="75">
        <v>1.7459</v>
      </c>
      <c r="BG58" s="75">
        <v>1.7450000000000001</v>
      </c>
      <c r="BH58" s="75">
        <v>1.7543000000000002</v>
      </c>
      <c r="BI58" s="75">
        <v>1.7490999999999999</v>
      </c>
      <c r="BJ58" s="75">
        <v>1.7471000000000001</v>
      </c>
      <c r="BK58" s="75">
        <v>1.7548999999999999</v>
      </c>
      <c r="BL58" s="75"/>
      <c r="BM58" s="75"/>
      <c r="BN58" s="80"/>
      <c r="BO58" s="83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  <c r="CY58" s="82"/>
      <c r="CZ58" s="82"/>
      <c r="DA58" s="82"/>
      <c r="DB58" s="82"/>
      <c r="DC58" s="82"/>
      <c r="DD58" s="82"/>
      <c r="DE58" s="82"/>
      <c r="DF58" s="82"/>
      <c r="DG58" s="82"/>
      <c r="DH58" s="82"/>
      <c r="DI58" s="82"/>
      <c r="DJ58" s="82"/>
      <c r="DK58" s="82"/>
      <c r="DL58" s="82"/>
      <c r="DM58" s="82"/>
      <c r="DN58" s="82"/>
      <c r="DO58" s="82"/>
      <c r="DP58" s="82"/>
      <c r="DQ58" s="82"/>
      <c r="DR58" s="82"/>
      <c r="DS58" s="82"/>
      <c r="DT58" s="82"/>
      <c r="DU58" s="82"/>
      <c r="DV58" s="82"/>
      <c r="DW58" s="82"/>
      <c r="DX58" s="82"/>
      <c r="DY58" s="82"/>
      <c r="DZ58" s="82"/>
      <c r="EA58" s="82"/>
      <c r="EB58" s="82"/>
      <c r="EC58" s="82"/>
      <c r="ED58" s="82"/>
    </row>
    <row r="60" spans="1:134">
      <c r="AI60" s="90"/>
      <c r="AJ60" s="90"/>
      <c r="AK60" s="90"/>
      <c r="AL60" s="90"/>
      <c r="AM60" s="90"/>
      <c r="AN60" s="90"/>
      <c r="AO60" s="90"/>
      <c r="AP60" s="90"/>
      <c r="AQ60" s="90"/>
      <c r="AR60" s="90"/>
      <c r="AS60" s="90"/>
      <c r="AT60" s="90"/>
      <c r="AU60" s="90"/>
      <c r="AV60" s="90"/>
      <c r="AW60" s="90"/>
      <c r="AX60" s="90"/>
      <c r="AY60" s="90"/>
      <c r="AZ60" s="90"/>
      <c r="BA60" s="90"/>
      <c r="BB60" s="90"/>
      <c r="BC60" s="90"/>
      <c r="BD60" s="90"/>
      <c r="BE60" s="90"/>
      <c r="BF60" s="90"/>
      <c r="BG60" s="90"/>
      <c r="BH60" s="90"/>
      <c r="BI60" s="90"/>
      <c r="BJ60" s="90"/>
      <c r="BK60" s="90"/>
    </row>
  </sheetData>
  <mergeCells count="22">
    <mergeCell ref="B8:M8"/>
    <mergeCell ref="O8:AC8"/>
    <mergeCell ref="AE8:AG8"/>
    <mergeCell ref="AI8:BN8"/>
    <mergeCell ref="X9:Y9"/>
    <mergeCell ref="B5:C5"/>
    <mergeCell ref="F5:G5"/>
    <mergeCell ref="H5:M5"/>
    <mergeCell ref="O5:Q5"/>
    <mergeCell ref="R5:U5"/>
    <mergeCell ref="B6:C6"/>
    <mergeCell ref="F6:G6"/>
    <mergeCell ref="H6:M6"/>
    <mergeCell ref="O6:Q6"/>
    <mergeCell ref="R6:U6"/>
    <mergeCell ref="A1:AC1"/>
    <mergeCell ref="T2:U2"/>
    <mergeCell ref="B4:C4"/>
    <mergeCell ref="F4:G4"/>
    <mergeCell ref="H4:M4"/>
    <mergeCell ref="O4:Q4"/>
    <mergeCell ref="R4:U4"/>
  </mergeCells>
  <phoneticPr fontId="28" type="noConversion"/>
  <conditionalFormatting sqref="AI16:AK16">
    <cfRule type="containsBlanks" dxfId="105" priority="86">
      <formula>LEN(TRIM(AI16))=0</formula>
    </cfRule>
    <cfRule type="expression" dxfId="104" priority="87">
      <formula>AND($M16&lt;&gt;"",$AI16&lt;&gt;"",AI16&lt;$M16)</formula>
    </cfRule>
    <cfRule type="expression" dxfId="103" priority="88">
      <formula>AND($L16&lt;&gt;"",$AI16&lt;&gt;"",AI16&gt;$L16)</formula>
    </cfRule>
    <cfRule type="notContainsBlanks" dxfId="102" priority="89">
      <formula>LEN(TRIM(AI16))&gt;0</formula>
    </cfRule>
  </conditionalFormatting>
  <conditionalFormatting sqref="AI18:AK18">
    <cfRule type="containsBlanks" dxfId="101" priority="76">
      <formula>LEN(TRIM(AI18))=0</formula>
    </cfRule>
    <cfRule type="expression" dxfId="100" priority="77">
      <formula>AND($M18&lt;&gt;"",$AI18&lt;&gt;"",AI18&lt;$M18)</formula>
    </cfRule>
    <cfRule type="expression" dxfId="99" priority="78">
      <formula>AND($L18&lt;&gt;"",$AI18&lt;&gt;"",AI18&gt;$L18)</formula>
    </cfRule>
    <cfRule type="notContainsBlanks" dxfId="98" priority="79">
      <formula>LEN(TRIM(AI18))&gt;0</formula>
    </cfRule>
  </conditionalFormatting>
  <conditionalFormatting sqref="AI19:AK19">
    <cfRule type="containsBlanks" dxfId="97" priority="72">
      <formula>LEN(TRIM(AI19))=0</formula>
    </cfRule>
    <cfRule type="expression" dxfId="96" priority="73">
      <formula>AND($M19&lt;&gt;"",$AI19&lt;&gt;"",AI19&lt;$M19)</formula>
    </cfRule>
    <cfRule type="expression" dxfId="95" priority="74">
      <formula>AND($L19&lt;&gt;"",$AI19&lt;&gt;"",AI19&gt;$L19)</formula>
    </cfRule>
    <cfRule type="notContainsBlanks" dxfId="94" priority="75">
      <formula>LEN(TRIM(AI19))&gt;0</formula>
    </cfRule>
  </conditionalFormatting>
  <conditionalFormatting sqref="AI20:AK20">
    <cfRule type="containsBlanks" dxfId="93" priority="80">
      <formula>LEN(TRIM(AI20))=0</formula>
    </cfRule>
    <cfRule type="expression" dxfId="92" priority="81">
      <formula>AND($M20&lt;&gt;"",$AI20&lt;&gt;"",AI20&lt;$M20)</formula>
    </cfRule>
    <cfRule type="expression" dxfId="91" priority="82">
      <formula>AND($L20&lt;&gt;"",$AI20&lt;&gt;"",AI20&gt;$L20)</formula>
    </cfRule>
    <cfRule type="notContainsBlanks" dxfId="90" priority="83">
      <formula>LEN(TRIM(AI20))&gt;0</formula>
    </cfRule>
  </conditionalFormatting>
  <conditionalFormatting sqref="AI24:AK24">
    <cfRule type="containsBlanks" dxfId="89" priority="60">
      <formula>LEN(TRIM(AI24))=0</formula>
    </cfRule>
    <cfRule type="expression" dxfId="88" priority="61">
      <formula>AND($M24&lt;&gt;"",$AI24&lt;&gt;"",AI24&lt;$M24)</formula>
    </cfRule>
    <cfRule type="expression" dxfId="87" priority="62">
      <formula>AND($L24&lt;&gt;"",$AI24&lt;&gt;"",AI24&gt;$L24)</formula>
    </cfRule>
    <cfRule type="notContainsBlanks" dxfId="86" priority="63">
      <formula>LEN(TRIM(AI24))&gt;0</formula>
    </cfRule>
  </conditionalFormatting>
  <conditionalFormatting sqref="AI25:AK25">
    <cfRule type="containsBlanks" dxfId="85" priority="56">
      <formula>LEN(TRIM(AI25))=0</formula>
    </cfRule>
    <cfRule type="expression" dxfId="84" priority="57">
      <formula>AND($M25&lt;&gt;"",$AI25&lt;&gt;"",AI25&lt;$M25)</formula>
    </cfRule>
    <cfRule type="expression" dxfId="83" priority="58">
      <formula>AND($L25&lt;&gt;"",$AI25&lt;&gt;"",AI25&gt;$L25)</formula>
    </cfRule>
    <cfRule type="notContainsBlanks" dxfId="82" priority="59">
      <formula>LEN(TRIM(AI25))&gt;0</formula>
    </cfRule>
  </conditionalFormatting>
  <conditionalFormatting sqref="AI26:AK26">
    <cfRule type="containsBlanks" dxfId="81" priority="64">
      <formula>LEN(TRIM(AI26))=0</formula>
    </cfRule>
    <cfRule type="expression" dxfId="80" priority="65">
      <formula>AND($M26&lt;&gt;"",$AI26&lt;&gt;"",AI26&lt;$M26)</formula>
    </cfRule>
    <cfRule type="expression" dxfId="79" priority="66">
      <formula>AND($L26&lt;&gt;"",$AI26&lt;&gt;"",AI26&gt;$L26)</formula>
    </cfRule>
    <cfRule type="notContainsBlanks" dxfId="78" priority="67">
      <formula>LEN(TRIM(AI26))&gt;0</formula>
    </cfRule>
  </conditionalFormatting>
  <conditionalFormatting sqref="AI28:AK28">
    <cfRule type="containsBlanks" dxfId="77" priority="44">
      <formula>LEN(TRIM(AI28))=0</formula>
    </cfRule>
    <cfRule type="expression" dxfId="76" priority="45">
      <formula>AND($M28&lt;&gt;"",$AI28&lt;&gt;"",AI28&lt;$M28)</formula>
    </cfRule>
    <cfRule type="expression" dxfId="75" priority="46">
      <formula>AND($L28&lt;&gt;"",$AI28&lt;&gt;"",AI28&gt;$L28)</formula>
    </cfRule>
    <cfRule type="notContainsBlanks" dxfId="74" priority="47">
      <formula>LEN(TRIM(AI28))&gt;0</formula>
    </cfRule>
  </conditionalFormatting>
  <conditionalFormatting sqref="AI29:AK29">
    <cfRule type="containsBlanks" dxfId="73" priority="40">
      <formula>LEN(TRIM(AI29))=0</formula>
    </cfRule>
    <cfRule type="expression" dxfId="72" priority="41">
      <formula>AND($M29&lt;&gt;"",$AI29&lt;&gt;"",AI29&lt;$M29)</formula>
    </cfRule>
    <cfRule type="expression" dxfId="71" priority="42">
      <formula>AND($L29&lt;&gt;"",$AI29&lt;&gt;"",AI29&gt;$L29)</formula>
    </cfRule>
    <cfRule type="notContainsBlanks" dxfId="70" priority="43">
      <formula>LEN(TRIM(AI29))&gt;0</formula>
    </cfRule>
  </conditionalFormatting>
  <conditionalFormatting sqref="AI34:AK34">
    <cfRule type="containsBlanks" dxfId="69" priority="48">
      <formula>LEN(TRIM(AI34))=0</formula>
    </cfRule>
    <cfRule type="expression" dxfId="68" priority="49">
      <formula>AND($M34&lt;&gt;"",$AI34&lt;&gt;"",AI34&lt;$M34)</formula>
    </cfRule>
    <cfRule type="expression" dxfId="67" priority="50">
      <formula>AND($L34&lt;&gt;"",$AI34&lt;&gt;"",AI34&gt;$L34)</formula>
    </cfRule>
    <cfRule type="notContainsBlanks" dxfId="66" priority="51">
      <formula>LEN(TRIM(AI34))&gt;0</formula>
    </cfRule>
  </conditionalFormatting>
  <conditionalFormatting sqref="AI35:BN35">
    <cfRule type="containsBlanks" dxfId="65" priority="35">
      <formula>LEN(TRIM(AI35))=0</formula>
    </cfRule>
    <cfRule type="expression" dxfId="64" priority="36">
      <formula>AND($M35&lt;&gt;"",$AI35&lt;&gt;"",AI35&lt;$M35)</formula>
    </cfRule>
    <cfRule type="expression" dxfId="63" priority="37">
      <formula>AND($L35&lt;&gt;"",$AI35&lt;&gt;"",AI35&gt;$L35)</formula>
    </cfRule>
    <cfRule type="notContainsBlanks" dxfId="62" priority="38">
      <formula>LEN(TRIM(AI35))&gt;0</formula>
    </cfRule>
  </conditionalFormatting>
  <conditionalFormatting sqref="BO35:ED35">
    <cfRule type="containsBlanks" dxfId="61" priority="39">
      <formula>LEN(TRIM(BO35))=0</formula>
    </cfRule>
  </conditionalFormatting>
  <conditionalFormatting sqref="AI38:AK38">
    <cfRule type="containsBlanks" dxfId="60" priority="26">
      <formula>LEN(TRIM(AI38))=0</formula>
    </cfRule>
    <cfRule type="expression" dxfId="59" priority="27">
      <formula>AND($M38&lt;&gt;"",$AI38&lt;&gt;"",AI38&lt;$M38)</formula>
    </cfRule>
    <cfRule type="expression" dxfId="58" priority="28">
      <formula>AND($L38&lt;&gt;"",$AI38&lt;&gt;"",AI38&gt;$L38)</formula>
    </cfRule>
    <cfRule type="notContainsBlanks" dxfId="57" priority="29">
      <formula>LEN(TRIM(AI38))&gt;0</formula>
    </cfRule>
  </conditionalFormatting>
  <conditionalFormatting sqref="AI39:AK39">
    <cfRule type="containsBlanks" dxfId="56" priority="22">
      <formula>LEN(TRIM(AI39))=0</formula>
    </cfRule>
    <cfRule type="expression" dxfId="55" priority="23">
      <formula>AND($M39&lt;&gt;"",$AI39&lt;&gt;"",AI39&lt;$M39)</formula>
    </cfRule>
    <cfRule type="expression" dxfId="54" priority="24">
      <formula>AND($L39&lt;&gt;"",$AI39&lt;&gt;"",AI39&gt;$L39)</formula>
    </cfRule>
    <cfRule type="notContainsBlanks" dxfId="53" priority="25">
      <formula>LEN(TRIM(AI39))&gt;0</formula>
    </cfRule>
  </conditionalFormatting>
  <conditionalFormatting sqref="AI40:AK40">
    <cfRule type="containsBlanks" dxfId="52" priority="30">
      <formula>LEN(TRIM(AI40))=0</formula>
    </cfRule>
    <cfRule type="expression" dxfId="51" priority="31">
      <formula>AND($M40&lt;&gt;"",$AI40&lt;&gt;"",AI40&lt;$M40)</formula>
    </cfRule>
    <cfRule type="expression" dxfId="50" priority="32">
      <formula>AND($L40&lt;&gt;"",$AI40&lt;&gt;"",AI40&gt;$L40)</formula>
    </cfRule>
    <cfRule type="notContainsBlanks" dxfId="49" priority="33">
      <formula>LEN(TRIM(AI40))&gt;0</formula>
    </cfRule>
  </conditionalFormatting>
  <conditionalFormatting sqref="AI42:AK42">
    <cfRule type="containsBlanks" dxfId="48" priority="18">
      <formula>LEN(TRIM(AI42))=0</formula>
    </cfRule>
    <cfRule type="expression" dxfId="47" priority="19">
      <formula>AND($M42&lt;&gt;"",$AI42&lt;&gt;"",AI42&lt;$M42)</formula>
    </cfRule>
    <cfRule type="expression" dxfId="46" priority="20">
      <formula>AND($L42&lt;&gt;"",$AI42&lt;&gt;"",AI42&gt;$L42)</formula>
    </cfRule>
    <cfRule type="notContainsBlanks" dxfId="45" priority="21">
      <formula>LEN(TRIM(AI42))&gt;0</formula>
    </cfRule>
  </conditionalFormatting>
  <conditionalFormatting sqref="G11:G58">
    <cfRule type="expression" dxfId="44" priority="1">
      <formula>AND($F11&lt;&gt;"Tolerance",$G11&lt;&gt;"")</formula>
    </cfRule>
    <cfRule type="expression" dxfId="43" priority="2">
      <formula>AND(OR($F11="GD&amp;T",$F11="MAX",$F11="MIN"),$G11="")</formula>
    </cfRule>
    <cfRule type="containsBlanks" dxfId="42" priority="3">
      <formula>LEN(TRIM(G11))=0</formula>
    </cfRule>
    <cfRule type="expression" dxfId="41" priority="4">
      <formula>AND($F11&lt;&gt;"Tolerance",$G11&lt;&gt;"")</formula>
    </cfRule>
    <cfRule type="expression" dxfId="40" priority="5">
      <formula>AND(OR($F11="GD&amp;T",$F11="MAX",$F11="MIN"),$G11="")</formula>
    </cfRule>
    <cfRule type="containsBlanks" dxfId="39" priority="6">
      <formula>LEN(TRIM(G11))=0</formula>
    </cfRule>
  </conditionalFormatting>
  <conditionalFormatting sqref="H11:H58">
    <cfRule type="expression" dxfId="38" priority="10">
      <formula>AND($F11="MIN",$H11&lt;&gt;"")</formula>
    </cfRule>
    <cfRule type="expression" dxfId="37" priority="11">
      <formula>AND($F11="MIN",$H11="")</formula>
    </cfRule>
    <cfRule type="containsBlanks" dxfId="36" priority="12">
      <formula>LEN(TRIM(H11))=0</formula>
    </cfRule>
  </conditionalFormatting>
  <conditionalFormatting sqref="I11:I58">
    <cfRule type="expression" dxfId="35" priority="7">
      <formula>AND(OR($F11="GD&amp;T",$F11="MAX"),$I11&lt;&gt;"")</formula>
    </cfRule>
    <cfRule type="expression" dxfId="34" priority="8">
      <formula>AND(OR($F11="GD&amp;T",$F11="MAX"),$I11="")</formula>
    </cfRule>
    <cfRule type="containsBlanks" dxfId="33" priority="9">
      <formula>LEN(TRIM(I11))=0</formula>
    </cfRule>
  </conditionalFormatting>
  <conditionalFormatting sqref="W11:W58">
    <cfRule type="notContainsBlanks" dxfId="32" priority="103">
      <formula>LEN(TRIM(W11))&gt;0</formula>
    </cfRule>
  </conditionalFormatting>
  <conditionalFormatting sqref="BO30:ED33 BO11:ED11 AL12:AM12 AQ12:ED12 BO17:ED17 AL13:ED16 AL18:ED27 AQ37:ED42 AL37:AM42 BO35:ED36 BO43:ED58 O11:Q58">
    <cfRule type="expression" dxfId="31" priority="104">
      <formula>AND($M11&lt;&gt;"",$AI11&lt;&gt;"",O11&lt;$M11)</formula>
    </cfRule>
    <cfRule type="expression" dxfId="30" priority="105">
      <formula>AND($L11&lt;&gt;"",$AI11&lt;&gt;"",O11&gt;$L11)</formula>
    </cfRule>
    <cfRule type="notContainsBlanks" dxfId="29" priority="106">
      <formula>LEN(TRIM(O11))&gt;0</formula>
    </cfRule>
  </conditionalFormatting>
  <conditionalFormatting sqref="R11:AA58">
    <cfRule type="expression" dxfId="28" priority="14">
      <formula>AND($AB11&lt;0.966,$AB11&lt;&gt;"")</formula>
    </cfRule>
  </conditionalFormatting>
  <conditionalFormatting sqref="S11:V58">
    <cfRule type="cellIs" dxfId="27" priority="15" operator="lessThan">
      <formula>$E11</formula>
    </cfRule>
    <cfRule type="notContainsBlanks" dxfId="26" priority="17">
      <formula>LEN(TRIM(S11))&gt;0</formula>
    </cfRule>
  </conditionalFormatting>
  <conditionalFormatting sqref="S11:W58">
    <cfRule type="expression" dxfId="25" priority="13">
      <formula>$K11="Yes"</formula>
    </cfRule>
  </conditionalFormatting>
  <conditionalFormatting sqref="W11:AA58">
    <cfRule type="containsBlanks" dxfId="24" priority="99">
      <formula>LEN(TRIM(W11))=0</formula>
    </cfRule>
    <cfRule type="cellIs" dxfId="23" priority="100" operator="between">
      <formula>0.9</formula>
      <formula>0.998</formula>
    </cfRule>
    <cfRule type="cellIs" dxfId="22" priority="101" operator="greaterThanOrEqual">
      <formula>0.998</formula>
    </cfRule>
  </conditionalFormatting>
  <conditionalFormatting sqref="AB11:AC58">
    <cfRule type="expression" dxfId="21" priority="16">
      <formula>AND($AB11&lt;0.966,$AB11&lt;&gt;"")</formula>
    </cfRule>
  </conditionalFormatting>
  <conditionalFormatting sqref="AI41:AK41 AI43:AM50 AQ43:BN50 AI30:BN33 AI11:BN11 AN12:AP12 AI13:AK15 AI17:BN17 AI27:AK27 AI37:AK37 AN37:AP50 AI36:BN36">
    <cfRule type="containsBlanks" dxfId="20" priority="94">
      <formula>LEN(TRIM(AI11))=0</formula>
    </cfRule>
    <cfRule type="expression" dxfId="19" priority="95">
      <formula>AND($M11&lt;&gt;"",$AI11&lt;&gt;"",AI11&lt;$M11)</formula>
    </cfRule>
    <cfRule type="expression" dxfId="18" priority="96">
      <formula>AND($L11&lt;&gt;"",$AI11&lt;&gt;"",AI11&gt;$L11)</formula>
    </cfRule>
    <cfRule type="notContainsBlanks" dxfId="17" priority="97">
      <formula>LEN(TRIM(AI11))&gt;0</formula>
    </cfRule>
  </conditionalFormatting>
  <conditionalFormatting sqref="AL42:AM42 AL24:ED27 AQ42:ED42 BO30:ED33 BO11:ED11 BO43:ED58 AL12:AM12 AQ12:ED12 AL15:ED16 BO17:ED17 BO36:ED36 AL37:AM37 AQ37:ED37">
    <cfRule type="containsBlanks" dxfId="16" priority="102">
      <formula>LEN(TRIM(AL11))=0</formula>
    </cfRule>
  </conditionalFormatting>
  <conditionalFormatting sqref="AI12:AK12 AI51:BN58">
    <cfRule type="containsBlanks" dxfId="15" priority="90">
      <formula>LEN(TRIM(AI12))=0</formula>
    </cfRule>
    <cfRule type="expression" dxfId="14" priority="91">
      <formula>AND($M12&lt;&gt;"",$AI12&lt;&gt;"",AI12&lt;$M12)</formula>
    </cfRule>
    <cfRule type="expression" dxfId="13" priority="92">
      <formula>AND($L12&lt;&gt;"",$AI12&lt;&gt;"",AI12&gt;$L12)</formula>
    </cfRule>
    <cfRule type="notContainsBlanks" dxfId="12" priority="93">
      <formula>LEN(TRIM(AI12))&gt;0</formula>
    </cfRule>
  </conditionalFormatting>
  <conditionalFormatting sqref="AL13:ED14">
    <cfRule type="containsBlanks" dxfId="11" priority="98">
      <formula>LEN(TRIM(AL13))=0</formula>
    </cfRule>
  </conditionalFormatting>
  <conditionalFormatting sqref="AL18:ED21">
    <cfRule type="containsBlanks" dxfId="10" priority="85">
      <formula>LEN(TRIM(AL18))=0</formula>
    </cfRule>
  </conditionalFormatting>
  <conditionalFormatting sqref="AI21:AK23">
    <cfRule type="containsBlanks" dxfId="9" priority="68">
      <formula>LEN(TRIM(AI21))=0</formula>
    </cfRule>
    <cfRule type="expression" dxfId="8" priority="69">
      <formula>AND($M21&lt;&gt;"",$AI21&lt;&gt;"",AI21&lt;$M21)</formula>
    </cfRule>
    <cfRule type="expression" dxfId="7" priority="70">
      <formula>AND($L21&lt;&gt;"",$AI21&lt;&gt;"",AI21&gt;$L21)</formula>
    </cfRule>
    <cfRule type="notContainsBlanks" dxfId="6" priority="71">
      <formula>LEN(TRIM(AI21))&gt;0</formula>
    </cfRule>
  </conditionalFormatting>
  <conditionalFormatting sqref="AL22:ED23">
    <cfRule type="containsBlanks" dxfId="5" priority="84">
      <formula>LEN(TRIM(AL22))=0</formula>
    </cfRule>
  </conditionalFormatting>
  <conditionalFormatting sqref="AL28:ED29 AL34:ED34">
    <cfRule type="containsBlanks" dxfId="4" priority="52">
      <formula>LEN(TRIM(AL28))=0</formula>
    </cfRule>
    <cfRule type="expression" dxfId="3" priority="53">
      <formula>AND($M28&lt;&gt;"",$AI28&lt;&gt;"",AL28&lt;$M28)</formula>
    </cfRule>
    <cfRule type="expression" dxfId="2" priority="54">
      <formula>AND($L28&lt;&gt;"",$AI28&lt;&gt;"",AL28&gt;$L28)</formula>
    </cfRule>
    <cfRule type="notContainsBlanks" dxfId="1" priority="55">
      <formula>LEN(TRIM(AL28))&gt;0</formula>
    </cfRule>
  </conditionalFormatting>
  <conditionalFormatting sqref="AL38:AM41 AQ38:ED41">
    <cfRule type="containsBlanks" dxfId="0" priority="34">
      <formula>LEN(TRIM(AL38))=0</formula>
    </cfRule>
  </conditionalFormatting>
  <dataValidations count="3">
    <dataValidation type="list" allowBlank="1" showInputMessage="1" showErrorMessage="1" sqref="K11:K58" xr:uid="{00000000-0002-0000-0100-000000000000}">
      <formula1>gauging</formula1>
    </dataValidation>
    <dataValidation type="list" allowBlank="1" showInputMessage="1" showErrorMessage="1" sqref="J11:J58" xr:uid="{00000000-0002-0000-0100-000001000000}">
      <formula1>insp_meth</formula1>
    </dataValidation>
    <dataValidation type="list" allowBlank="1" showInputMessage="1" showErrorMessage="1" sqref="F11:F58" xr:uid="{00000000-0002-0000-0100-000002000000}">
      <formula1>dim_type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Pict="0" macro="[0]!updateNormality">
                <anchor moveWithCells="1" sizeWithCells="1">
                  <from>
                    <xdr:col>2</xdr:col>
                    <xdr:colOff>9525</xdr:colOff>
                    <xdr:row>1</xdr:row>
                    <xdr:rowOff>28575</xdr:rowOff>
                  </from>
                  <to>
                    <xdr:col>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Pict="0" macro="[0]!showAddShtFrm">
                <anchor moveWithCells="1" sizeWithCells="1">
                  <from>
                    <xdr:col>3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Pict="0" macro="[0]!showExportFrm">
                <anchor moveWithCells="1" sizeWithCells="1"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7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Pict="0" macro="[0]!showImport">
                <anchor moveWithCells="1" sizeWithCells="1">
                  <from>
                    <xdr:col>7</xdr:col>
                    <xdr:colOff>0</xdr:colOff>
                    <xdr:row>1</xdr:row>
                    <xdr:rowOff>9525</xdr:rowOff>
                  </from>
                  <to>
                    <xdr:col>7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Pict="0" macro="[0]!detectOutliers">
                <anchor moveWithCells="1" sizeWithCells="1">
                  <from>
                    <xdr:col>7</xdr:col>
                    <xdr:colOff>0</xdr:colOff>
                    <xdr:row>1</xdr:row>
                    <xdr:rowOff>9525</xdr:rowOff>
                  </from>
                  <to>
                    <xdr:col>7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L13"/>
  <sheetViews>
    <sheetView workbookViewId="0">
      <selection activeCell="L2" sqref="L2:L3"/>
    </sheetView>
  </sheetViews>
  <sheetFormatPr defaultColWidth="11" defaultRowHeight="15.75"/>
  <cols>
    <col min="4" max="4" width="11.875" customWidth="1"/>
    <col min="8" max="8" width="20" style="1" customWidth="1"/>
    <col min="9" max="9" width="10.875" style="1"/>
    <col min="10" max="10" width="16" style="1" customWidth="1"/>
  </cols>
  <sheetData>
    <row r="1" spans="1:12" ht="47.25">
      <c r="A1" s="118" t="s">
        <v>55</v>
      </c>
      <c r="B1" s="118"/>
      <c r="H1" s="2" t="s">
        <v>56</v>
      </c>
      <c r="I1" s="3"/>
      <c r="J1" s="2" t="s">
        <v>57</v>
      </c>
      <c r="L1" s="2" t="s">
        <v>58</v>
      </c>
    </row>
    <row r="2" spans="1:12">
      <c r="A2" s="1" t="s">
        <v>59</v>
      </c>
      <c r="B2" s="1" t="s">
        <v>60</v>
      </c>
      <c r="H2" s="1" t="s">
        <v>61</v>
      </c>
      <c r="J2" s="1" t="s">
        <v>50</v>
      </c>
      <c r="L2" s="1" t="s">
        <v>62</v>
      </c>
    </row>
    <row r="3" spans="1:12">
      <c r="H3" s="1" t="s">
        <v>63</v>
      </c>
      <c r="J3" s="1" t="s">
        <v>53</v>
      </c>
      <c r="L3" s="1" t="s">
        <v>52</v>
      </c>
    </row>
    <row r="4" spans="1:12">
      <c r="H4" s="1" t="s">
        <v>64</v>
      </c>
      <c r="J4" s="1" t="s">
        <v>65</v>
      </c>
      <c r="L4" s="1"/>
    </row>
    <row r="5" spans="1:12">
      <c r="H5" s="1" t="s">
        <v>51</v>
      </c>
      <c r="J5" s="1" t="s">
        <v>66</v>
      </c>
      <c r="L5" s="1"/>
    </row>
    <row r="6" spans="1:12">
      <c r="H6" s="1" t="s">
        <v>67</v>
      </c>
    </row>
    <row r="7" spans="1:12">
      <c r="H7" s="1" t="s">
        <v>68</v>
      </c>
    </row>
    <row r="8" spans="1:12">
      <c r="H8" s="1" t="s">
        <v>69</v>
      </c>
    </row>
    <row r="9" spans="1:12">
      <c r="H9" s="1" t="s">
        <v>70</v>
      </c>
    </row>
    <row r="10" spans="1:12">
      <c r="H10" s="1" t="s">
        <v>71</v>
      </c>
    </row>
    <row r="11" spans="1:12">
      <c r="H11" s="1" t="s">
        <v>72</v>
      </c>
    </row>
    <row r="12" spans="1:12">
      <c r="H12" s="1" t="s">
        <v>73</v>
      </c>
    </row>
    <row r="13" spans="1:12">
      <c r="H13" s="1" t="s">
        <v>74</v>
      </c>
    </row>
  </sheetData>
  <mergeCells count="1">
    <mergeCell ref="A1:B1"/>
  </mergeCells>
  <phoneticPr fontId="28" type="noConversion"/>
  <pageMargins left="0.75" right="0.75" top="1" bottom="1" header="0.5" footer="0.5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EDF6C49837BE84395B53A218451A79B" ma:contentTypeVersion="6" ma:contentTypeDescription="Ein neues Dokument erstellen." ma:contentTypeScope="" ma:versionID="5d3722e75fede73ae228a40572486d9d">
  <xsd:schema xmlns:xsd="http://www.w3.org/2001/XMLSchema" xmlns:xs="http://www.w3.org/2001/XMLSchema" xmlns:p="http://schemas.microsoft.com/office/2006/metadata/properties" xmlns:ns2="b35b745a-e2d2-4e87-a0d4-2efbeee4004b" xmlns:ns3="7a0c613a-afed-4a87-bab4-334019aff908" targetNamespace="http://schemas.microsoft.com/office/2006/metadata/properties" ma:root="true" ma:fieldsID="97d94cdecbe1ed2fb3ecc85d86fe679f" ns2:_="" ns3:_="">
    <xsd:import namespace="b35b745a-e2d2-4e87-a0d4-2efbeee4004b"/>
    <xsd:import namespace="7a0c613a-afed-4a87-bab4-334019aff9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5b745a-e2d2-4e87-a0d4-2efbeee4004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0c613a-afed-4a87-bab4-334019aff90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9C7F39-3B02-4C23-BCC7-44040A83D91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54B6125-C521-4504-A6A8-E4776BA9A6FC}"/>
</file>

<file path=customXml/itemProps3.xml><?xml version="1.0" encoding="utf-8"?>
<ds:datastoreItem xmlns:ds="http://schemas.openxmlformats.org/officeDocument/2006/customXml" ds:itemID="{4B15EBC4-85D3-4CAB-8A92-720F579896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SS1-1</vt:lpstr>
      <vt:lpstr>SS1-2</vt:lpstr>
      <vt:lpstr>Setup</vt:lpstr>
      <vt:lpstr>'SS1-2'!CMMVersion</vt:lpstr>
      <vt:lpstr>CMMVersion</vt:lpstr>
      <vt:lpstr>dim_type</vt:lpstr>
      <vt:lpstr>dim_types</vt:lpstr>
      <vt:lpstr>gauging</vt:lpstr>
      <vt:lpstr>insp_meth</vt:lpstr>
    </vt:vector>
  </TitlesOfParts>
  <Company>Apple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Rotter, Ronald</cp:lastModifiedBy>
  <dcterms:created xsi:type="dcterms:W3CDTF">2012-05-22T11:55:00Z</dcterms:created>
  <dcterms:modified xsi:type="dcterms:W3CDTF">2024-02-19T12:39:01Z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B56FCC2B940E48EEB7C205B74BFEE643</vt:lpwstr>
  </property>
  <property fmtid="{D5CDD505-2E9C-101B-9397-08002B2CF9AE}" pid="3" name="KSOProductBuildVer">
    <vt:lpwstr>2052-11.1.0.13607</vt:lpwstr>
  </property>
  <property fmtid="{D5CDD505-2E9C-101B-9397-08002B2CF9AE}" pid="4" name="ContentTypeId">
    <vt:lpwstr>0x0101006EDF6C49837BE84395B53A218451A79B</vt:lpwstr>
  </property>
</Properties>
</file>